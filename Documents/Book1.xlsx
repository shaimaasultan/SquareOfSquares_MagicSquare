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3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4.xml" ContentType="application/vnd.openxmlformats-officedocument.drawing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drawings/drawing5.xml" ContentType="application/vnd.openxmlformats-officedocument.drawing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drawings/drawing6.xml" ContentType="application/vnd.openxmlformats-officedocument.drawing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drawings/drawing7.xml" ContentType="application/vnd.openxmlformats-officedocument.drawing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drawings/drawing8.xml" ContentType="application/vnd.openxmlformats-officedocument.drawing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quareOfSquares\"/>
    </mc:Choice>
  </mc:AlternateContent>
  <xr:revisionPtr revIDLastSave="0" documentId="13_ncr:1_{68B9C15E-10B3-4BDF-922C-6122031B6883}" xr6:coauthVersionLast="47" xr6:coauthVersionMax="47" xr10:uidLastSave="{00000000-0000-0000-0000-000000000000}"/>
  <bookViews>
    <workbookView xWindow="-108" yWindow="-108" windowWidth="23256" windowHeight="13896" activeTab="8" xr2:uid="{4C1F6AA9-38ED-46B5-A6EB-C3E319E49410}"/>
  </bookViews>
  <sheets>
    <sheet name="Sheet1" sheetId="1" r:id="rId1"/>
    <sheet name="Sheet3" sheetId="3" r:id="rId2"/>
    <sheet name="Sheet4" sheetId="4" r:id="rId3"/>
    <sheet name="Sheet8" sheetId="8" r:id="rId4"/>
    <sheet name="Sheet7" sheetId="7" r:id="rId5"/>
    <sheet name="Sheet5" sheetId="5" r:id="rId6"/>
    <sheet name="Sheet6" sheetId="6" r:id="rId7"/>
    <sheet name="Sheet9" sheetId="9" r:id="rId8"/>
    <sheet name="Sheet10" sheetId="10" r:id="rId9"/>
    <sheet name="Sheet2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0" l="1"/>
  <c r="J21" i="10"/>
  <c r="J32" i="10" s="1"/>
  <c r="G21" i="10"/>
  <c r="G17" i="10"/>
  <c r="T14" i="10"/>
  <c r="S14" i="10"/>
  <c r="R14" i="10"/>
  <c r="K14" i="10"/>
  <c r="K20" i="10" s="1"/>
  <c r="T13" i="10"/>
  <c r="S13" i="10"/>
  <c r="T16" i="10" s="1"/>
  <c r="L25" i="10" s="1"/>
  <c r="R13" i="10"/>
  <c r="T12" i="10"/>
  <c r="S12" i="10"/>
  <c r="R12" i="10"/>
  <c r="P23" i="9"/>
  <c r="P21" i="9"/>
  <c r="G17" i="9"/>
  <c r="G21" i="9"/>
  <c r="R12" i="9"/>
  <c r="L21" i="9"/>
  <c r="T12" i="9"/>
  <c r="K21" i="9"/>
  <c r="K18" i="9"/>
  <c r="K29" i="9" s="1"/>
  <c r="S12" i="9"/>
  <c r="U9" i="9"/>
  <c r="Q9" i="9"/>
  <c r="R6" i="9"/>
  <c r="S6" i="9"/>
  <c r="T6" i="9"/>
  <c r="T10" i="9"/>
  <c r="S10" i="9"/>
  <c r="R10" i="9"/>
  <c r="R9" i="9"/>
  <c r="T9" i="9"/>
  <c r="S9" i="9"/>
  <c r="T8" i="9"/>
  <c r="S8" i="9"/>
  <c r="R8" i="9"/>
  <c r="K10" i="9"/>
  <c r="J21" i="9"/>
  <c r="J18" i="9" s="1"/>
  <c r="K17" i="9"/>
  <c r="K28" i="9" s="1"/>
  <c r="L17" i="9"/>
  <c r="L28" i="9" s="1"/>
  <c r="G13" i="9"/>
  <c r="L16" i="9"/>
  <c r="M14" i="6"/>
  <c r="K14" i="6"/>
  <c r="M18" i="6"/>
  <c r="L18" i="6"/>
  <c r="L15" i="6" s="1"/>
  <c r="L26" i="6" s="1"/>
  <c r="K18" i="6"/>
  <c r="K15" i="6" s="1"/>
  <c r="N14" i="6"/>
  <c r="H10" i="6"/>
  <c r="L7" i="6"/>
  <c r="H14" i="8"/>
  <c r="J7" i="8"/>
  <c r="J18" i="8"/>
  <c r="K18" i="8"/>
  <c r="K15" i="8" s="1"/>
  <c r="I18" i="8"/>
  <c r="H15" i="4"/>
  <c r="Z26" i="4"/>
  <c r="F16" i="7"/>
  <c r="J16" i="7" s="1"/>
  <c r="H9" i="7"/>
  <c r="H16" i="7" s="1"/>
  <c r="H27" i="7" s="1"/>
  <c r="I20" i="7"/>
  <c r="H20" i="7"/>
  <c r="G20" i="7"/>
  <c r="D12" i="7"/>
  <c r="J15" i="5"/>
  <c r="L8" i="5"/>
  <c r="M19" i="5"/>
  <c r="L19" i="5"/>
  <c r="K19" i="5"/>
  <c r="K16" i="5" s="1"/>
  <c r="K27" i="5" s="1"/>
  <c r="N15" i="5"/>
  <c r="H11" i="5"/>
  <c r="L13" i="4"/>
  <c r="P41" i="4"/>
  <c r="T41" i="4" s="1"/>
  <c r="S41" i="4" s="1"/>
  <c r="S52" i="4" s="1"/>
  <c r="S45" i="4"/>
  <c r="S42" i="4" s="1"/>
  <c r="R45" i="4"/>
  <c r="Q45" i="4"/>
  <c r="Q42" i="4" s="1"/>
  <c r="R42" i="4"/>
  <c r="R53" i="4" s="1"/>
  <c r="S40" i="4"/>
  <c r="S51" i="4" s="1"/>
  <c r="R40" i="4"/>
  <c r="R51" i="4" s="1"/>
  <c r="Q40" i="4"/>
  <c r="O37" i="4"/>
  <c r="G34" i="4"/>
  <c r="G40" i="4"/>
  <c r="D37" i="4"/>
  <c r="C10" i="4"/>
  <c r="H45" i="4"/>
  <c r="H42" i="4" s="1"/>
  <c r="G45" i="4"/>
  <c r="F45" i="4"/>
  <c r="E41" i="4"/>
  <c r="I41" i="4" s="1"/>
  <c r="G7" i="4"/>
  <c r="G14" i="4" s="1"/>
  <c r="G25" i="4" s="1"/>
  <c r="R18" i="4"/>
  <c r="R15" i="4" s="1"/>
  <c r="Q18" i="4"/>
  <c r="P18" i="4"/>
  <c r="Q14" i="4"/>
  <c r="Q25" i="4" s="1"/>
  <c r="O14" i="4"/>
  <c r="S14" i="4" s="1"/>
  <c r="Q7" i="4"/>
  <c r="P15" i="4" s="1"/>
  <c r="E14" i="4"/>
  <c r="I14" i="4" s="1"/>
  <c r="H18" i="4"/>
  <c r="G18" i="4"/>
  <c r="F18" i="4"/>
  <c r="O35" i="3"/>
  <c r="R39" i="3"/>
  <c r="Q39" i="3"/>
  <c r="P39" i="3"/>
  <c r="P36" i="3" s="1"/>
  <c r="S35" i="3"/>
  <c r="R34" i="3"/>
  <c r="R45" i="3" s="1"/>
  <c r="Q28" i="3"/>
  <c r="F36" i="3"/>
  <c r="H46" i="3"/>
  <c r="I40" i="3"/>
  <c r="H40" i="3"/>
  <c r="H37" i="3" s="1"/>
  <c r="H48" i="3" s="1"/>
  <c r="G40" i="3"/>
  <c r="I37" i="3"/>
  <c r="I48" i="3" s="1"/>
  <c r="G37" i="3"/>
  <c r="H36" i="3"/>
  <c r="H47" i="3" s="1"/>
  <c r="J36" i="3"/>
  <c r="I36" i="3" s="1"/>
  <c r="I47" i="3" s="1"/>
  <c r="I35" i="3"/>
  <c r="K33" i="3" s="1"/>
  <c r="H35" i="3"/>
  <c r="H42" i="3" s="1"/>
  <c r="G35" i="3"/>
  <c r="G46" i="3" s="1"/>
  <c r="H29" i="3"/>
  <c r="O11" i="3"/>
  <c r="R15" i="3"/>
  <c r="Q15" i="3"/>
  <c r="P15" i="3"/>
  <c r="S11" i="3"/>
  <c r="Q4" i="3"/>
  <c r="F11" i="3"/>
  <c r="J11" i="3" s="1"/>
  <c r="H4" i="3"/>
  <c r="I15" i="3"/>
  <c r="H15" i="3"/>
  <c r="G15" i="3"/>
  <c r="AE33" i="1"/>
  <c r="AD33" i="1"/>
  <c r="AC33" i="1"/>
  <c r="AD29" i="1"/>
  <c r="AE28" i="1" s="1"/>
  <c r="AE39" i="1" s="1"/>
  <c r="AB29" i="1"/>
  <c r="AF29" i="1" s="1"/>
  <c r="AC16" i="1"/>
  <c r="AD16" i="1"/>
  <c r="AE16" i="1"/>
  <c r="AD12" i="1"/>
  <c r="AC11" i="1" s="1"/>
  <c r="AB12" i="1"/>
  <c r="AF12" i="1" s="1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S17" i="2"/>
  <c r="S33" i="2"/>
  <c r="R13" i="2"/>
  <c r="R14" i="2"/>
  <c r="R15" i="2"/>
  <c r="R29" i="2"/>
  <c r="R30" i="2"/>
  <c r="R31" i="2"/>
  <c r="Q7" i="2"/>
  <c r="Q9" i="2"/>
  <c r="Q10" i="2"/>
  <c r="Q11" i="2"/>
  <c r="Q12" i="2"/>
  <c r="Q13" i="2"/>
  <c r="Q15" i="2"/>
  <c r="Q23" i="2"/>
  <c r="Q25" i="2"/>
  <c r="Q26" i="2"/>
  <c r="Q27" i="2"/>
  <c r="Q28" i="2"/>
  <c r="Q29" i="2"/>
  <c r="Q31" i="2"/>
  <c r="P5" i="2"/>
  <c r="P6" i="2"/>
  <c r="P7" i="2"/>
  <c r="P10" i="2"/>
  <c r="P21" i="2"/>
  <c r="P22" i="2"/>
  <c r="P23" i="2"/>
  <c r="P26" i="2"/>
  <c r="O5" i="2"/>
  <c r="O6" i="2"/>
  <c r="O7" i="2"/>
  <c r="O9" i="2"/>
  <c r="O11" i="2"/>
  <c r="O21" i="2"/>
  <c r="O22" i="2"/>
  <c r="O23" i="2"/>
  <c r="O25" i="2"/>
  <c r="O27" i="2"/>
  <c r="O36" i="2"/>
  <c r="O2" i="2"/>
  <c r="N36" i="2"/>
  <c r="M5" i="2"/>
  <c r="M11" i="2"/>
  <c r="M13" i="2"/>
  <c r="M14" i="2"/>
  <c r="M15" i="2"/>
  <c r="M16" i="2"/>
  <c r="M21" i="2"/>
  <c r="M27" i="2"/>
  <c r="M29" i="2"/>
  <c r="M30" i="2"/>
  <c r="M31" i="2"/>
  <c r="M32" i="2"/>
  <c r="L10" i="2"/>
  <c r="L11" i="2"/>
  <c r="L12" i="2"/>
  <c r="L13" i="2"/>
  <c r="L14" i="2"/>
  <c r="L26" i="2"/>
  <c r="L27" i="2"/>
  <c r="L28" i="2"/>
  <c r="L29" i="2"/>
  <c r="L30" i="2"/>
  <c r="K5" i="2"/>
  <c r="K7" i="2"/>
  <c r="K8" i="2"/>
  <c r="K9" i="2"/>
  <c r="K10" i="2"/>
  <c r="K11" i="2"/>
  <c r="K13" i="2"/>
  <c r="K15" i="2"/>
  <c r="K21" i="2"/>
  <c r="K23" i="2"/>
  <c r="K24" i="2"/>
  <c r="K25" i="2"/>
  <c r="K26" i="2"/>
  <c r="K27" i="2"/>
  <c r="K29" i="2"/>
  <c r="K31" i="2"/>
  <c r="J5" i="2"/>
  <c r="J6" i="2"/>
  <c r="J7" i="2"/>
  <c r="J21" i="2"/>
  <c r="J22" i="2"/>
  <c r="J23" i="2"/>
  <c r="I4" i="2"/>
  <c r="I5" i="2"/>
  <c r="I7" i="2"/>
  <c r="I9" i="2"/>
  <c r="I15" i="2"/>
  <c r="I20" i="2"/>
  <c r="I21" i="2"/>
  <c r="I23" i="2"/>
  <c r="I25" i="2"/>
  <c r="I31" i="2"/>
  <c r="I36" i="2"/>
  <c r="H15" i="2"/>
  <c r="H16" i="2"/>
  <c r="H17" i="2"/>
  <c r="H31" i="2"/>
  <c r="H32" i="2"/>
  <c r="H33" i="2"/>
  <c r="G9" i="2"/>
  <c r="G11" i="2"/>
  <c r="G12" i="2"/>
  <c r="G13" i="2"/>
  <c r="G14" i="2"/>
  <c r="G15" i="2"/>
  <c r="G25" i="2"/>
  <c r="G27" i="2"/>
  <c r="G28" i="2"/>
  <c r="G29" i="2"/>
  <c r="G30" i="2"/>
  <c r="G31" i="2"/>
  <c r="F9" i="2"/>
  <c r="F10" i="2"/>
  <c r="F11" i="2"/>
  <c r="F25" i="2"/>
  <c r="F26" i="2"/>
  <c r="F27" i="2"/>
  <c r="D4" i="2"/>
  <c r="D5" i="2"/>
  <c r="D6" i="2"/>
  <c r="D20" i="2"/>
  <c r="D21" i="2"/>
  <c r="D22" i="2"/>
  <c r="D36" i="2"/>
  <c r="D2" i="2"/>
  <c r="B3" i="2"/>
  <c r="P3" i="2" s="1"/>
  <c r="B4" i="2"/>
  <c r="U4" i="2" s="1"/>
  <c r="B5" i="2"/>
  <c r="N5" i="2" s="1"/>
  <c r="B6" i="2"/>
  <c r="K6" i="2" s="1"/>
  <c r="B7" i="2"/>
  <c r="F7" i="2" s="1"/>
  <c r="B8" i="2"/>
  <c r="Q8" i="2" s="1"/>
  <c r="B9" i="2"/>
  <c r="L9" i="2" s="1"/>
  <c r="B10" i="2"/>
  <c r="G10" i="2" s="1"/>
  <c r="B11" i="2"/>
  <c r="R11" i="2" s="1"/>
  <c r="B12" i="2"/>
  <c r="M12" i="2" s="1"/>
  <c r="B13" i="2"/>
  <c r="H13" i="2" s="1"/>
  <c r="B14" i="2"/>
  <c r="S14" i="2" s="1"/>
  <c r="B15" i="2"/>
  <c r="N15" i="2" s="1"/>
  <c r="B16" i="2"/>
  <c r="I16" i="2" s="1"/>
  <c r="B17" i="2"/>
  <c r="T17" i="2" s="1"/>
  <c r="B18" i="2"/>
  <c r="O18" i="2" s="1"/>
  <c r="B19" i="2"/>
  <c r="U36" i="2" s="1"/>
  <c r="B20" i="2"/>
  <c r="U20" i="2" s="1"/>
  <c r="B21" i="2"/>
  <c r="N21" i="2" s="1"/>
  <c r="B22" i="2"/>
  <c r="K22" i="2" s="1"/>
  <c r="B23" i="2"/>
  <c r="F23" i="2" s="1"/>
  <c r="B24" i="2"/>
  <c r="Q24" i="2" s="1"/>
  <c r="B25" i="2"/>
  <c r="L25" i="2" s="1"/>
  <c r="B26" i="2"/>
  <c r="G26" i="2" s="1"/>
  <c r="B27" i="2"/>
  <c r="R27" i="2" s="1"/>
  <c r="B28" i="2"/>
  <c r="M28" i="2" s="1"/>
  <c r="B29" i="2"/>
  <c r="H29" i="2" s="1"/>
  <c r="B30" i="2"/>
  <c r="S30" i="2" s="1"/>
  <c r="B31" i="2"/>
  <c r="N31" i="2" s="1"/>
  <c r="B32" i="2"/>
  <c r="I32" i="2" s="1"/>
  <c r="B33" i="2"/>
  <c r="T33" i="2" s="1"/>
  <c r="B34" i="2"/>
  <c r="O34" i="2" s="1"/>
  <c r="B35" i="2"/>
  <c r="J35" i="2" s="1"/>
  <c r="B2" i="2"/>
  <c r="P2" i="2" s="1"/>
  <c r="Y43" i="1"/>
  <c r="W43" i="1"/>
  <c r="V43" i="1"/>
  <c r="U43" i="1"/>
  <c r="Y41" i="1"/>
  <c r="Y40" i="1"/>
  <c r="Y39" i="1"/>
  <c r="Y37" i="1"/>
  <c r="P42" i="1"/>
  <c r="N42" i="1"/>
  <c r="M42" i="1"/>
  <c r="L42" i="1"/>
  <c r="P40" i="1"/>
  <c r="P39" i="1"/>
  <c r="P38" i="1"/>
  <c r="P36" i="1"/>
  <c r="Y28" i="1"/>
  <c r="W28" i="1"/>
  <c r="V28" i="1"/>
  <c r="U28" i="1"/>
  <c r="Y26" i="1"/>
  <c r="Y25" i="1"/>
  <c r="Y24" i="1"/>
  <c r="Y22" i="1"/>
  <c r="T12" i="1"/>
  <c r="W9" i="1"/>
  <c r="V9" i="1"/>
  <c r="U9" i="1"/>
  <c r="Y15" i="1"/>
  <c r="W15" i="1"/>
  <c r="V15" i="1"/>
  <c r="U15" i="1"/>
  <c r="Y13" i="1"/>
  <c r="Y12" i="1"/>
  <c r="Y11" i="1"/>
  <c r="Y9" i="1"/>
  <c r="P28" i="1"/>
  <c r="N28" i="1"/>
  <c r="M28" i="1"/>
  <c r="L28" i="1"/>
  <c r="P26" i="1"/>
  <c r="P25" i="1"/>
  <c r="P24" i="1"/>
  <c r="P22" i="1"/>
  <c r="L3" i="1"/>
  <c r="M4" i="1"/>
  <c r="K31" i="10" l="1"/>
  <c r="U13" i="10"/>
  <c r="L21" i="10"/>
  <c r="L32" i="10" s="1"/>
  <c r="J22" i="10"/>
  <c r="R16" i="10"/>
  <c r="S16" i="10"/>
  <c r="K25" i="10" s="1"/>
  <c r="G25" i="10" s="1"/>
  <c r="T10" i="10"/>
  <c r="Q13" i="10"/>
  <c r="L20" i="10"/>
  <c r="K21" i="10"/>
  <c r="S10" i="10"/>
  <c r="J20" i="10"/>
  <c r="R10" i="10"/>
  <c r="L22" i="10"/>
  <c r="N14" i="9"/>
  <c r="L27" i="9"/>
  <c r="J17" i="9"/>
  <c r="L18" i="9"/>
  <c r="L23" i="9" s="1"/>
  <c r="J29" i="9"/>
  <c r="J16" i="9"/>
  <c r="K16" i="9"/>
  <c r="M25" i="6"/>
  <c r="M15" i="6"/>
  <c r="M26" i="6"/>
  <c r="O15" i="6"/>
  <c r="M13" i="6"/>
  <c r="K13" i="6"/>
  <c r="L13" i="6"/>
  <c r="L14" i="6"/>
  <c r="L25" i="6" s="1"/>
  <c r="K26" i="6"/>
  <c r="J13" i="8"/>
  <c r="J24" i="8" s="1"/>
  <c r="I15" i="8"/>
  <c r="F10" i="8"/>
  <c r="I13" i="8"/>
  <c r="I24" i="8" s="1"/>
  <c r="L14" i="8"/>
  <c r="K14" i="8" s="1"/>
  <c r="K25" i="8" s="1"/>
  <c r="K13" i="8"/>
  <c r="J14" i="8"/>
  <c r="J25" i="8" s="1"/>
  <c r="J15" i="8"/>
  <c r="J26" i="8" s="1"/>
  <c r="K26" i="8"/>
  <c r="I17" i="7"/>
  <c r="I28" i="7" s="1"/>
  <c r="I16" i="7"/>
  <c r="I27" i="7" s="1"/>
  <c r="H17" i="7"/>
  <c r="H28" i="7" s="1"/>
  <c r="G15" i="7"/>
  <c r="K22" i="7" s="1"/>
  <c r="H15" i="7"/>
  <c r="I15" i="7"/>
  <c r="G16" i="7"/>
  <c r="G17" i="7"/>
  <c r="L16" i="5"/>
  <c r="L27" i="5" s="1"/>
  <c r="M16" i="5"/>
  <c r="M27" i="5"/>
  <c r="K14" i="5"/>
  <c r="L14" i="5"/>
  <c r="M14" i="5"/>
  <c r="K15" i="5"/>
  <c r="L15" i="5"/>
  <c r="L26" i="5" s="1"/>
  <c r="M15" i="5"/>
  <c r="M26" i="5" s="1"/>
  <c r="U40" i="4"/>
  <c r="U42" i="4"/>
  <c r="S53" i="4"/>
  <c r="Q53" i="4"/>
  <c r="Q51" i="4"/>
  <c r="S47" i="4"/>
  <c r="Q41" i="4"/>
  <c r="R41" i="4"/>
  <c r="R52" i="4" s="1"/>
  <c r="R13" i="4"/>
  <c r="R24" i="4" s="1"/>
  <c r="Q15" i="4"/>
  <c r="Q26" i="4" s="1"/>
  <c r="H53" i="4"/>
  <c r="H40" i="4"/>
  <c r="F40" i="4"/>
  <c r="F41" i="4"/>
  <c r="G41" i="4"/>
  <c r="G52" i="4" s="1"/>
  <c r="H41" i="4"/>
  <c r="H52" i="4" s="1"/>
  <c r="F42" i="4"/>
  <c r="G42" i="4"/>
  <c r="G53" i="4" s="1"/>
  <c r="G13" i="4"/>
  <c r="G24" i="4" s="1"/>
  <c r="H13" i="4"/>
  <c r="H24" i="4" s="1"/>
  <c r="F15" i="4"/>
  <c r="F26" i="4" s="1"/>
  <c r="G15" i="4"/>
  <c r="G26" i="4" s="1"/>
  <c r="H14" i="4"/>
  <c r="H25" i="4" s="1"/>
  <c r="P14" i="4"/>
  <c r="P26" i="4"/>
  <c r="P13" i="4"/>
  <c r="R26" i="4"/>
  <c r="T11" i="4"/>
  <c r="Q13" i="4"/>
  <c r="R14" i="4"/>
  <c r="R25" i="4" s="1"/>
  <c r="P25" i="4"/>
  <c r="H26" i="4"/>
  <c r="F13" i="4"/>
  <c r="F14" i="4"/>
  <c r="R36" i="3"/>
  <c r="R47" i="3"/>
  <c r="T36" i="3"/>
  <c r="P34" i="3"/>
  <c r="Q34" i="3"/>
  <c r="Q35" i="3"/>
  <c r="Q46" i="3" s="1"/>
  <c r="P35" i="3"/>
  <c r="R35" i="3"/>
  <c r="R46" i="3" s="1"/>
  <c r="Q36" i="3"/>
  <c r="Q47" i="3" s="1"/>
  <c r="P47" i="3"/>
  <c r="K37" i="3"/>
  <c r="K42" i="3"/>
  <c r="G36" i="3"/>
  <c r="I46" i="3"/>
  <c r="G48" i="3"/>
  <c r="K35" i="3"/>
  <c r="I42" i="3"/>
  <c r="R12" i="3"/>
  <c r="R23" i="3"/>
  <c r="P10" i="3"/>
  <c r="R10" i="3"/>
  <c r="P11" i="3"/>
  <c r="R11" i="3"/>
  <c r="R22" i="3" s="1"/>
  <c r="Q11" i="3"/>
  <c r="Q22" i="3" s="1"/>
  <c r="Q10" i="3"/>
  <c r="P12" i="3"/>
  <c r="Q12" i="3"/>
  <c r="Q23" i="3" s="1"/>
  <c r="G11" i="3"/>
  <c r="G22" i="3" s="1"/>
  <c r="H11" i="3"/>
  <c r="H22" i="3" s="1"/>
  <c r="I11" i="3"/>
  <c r="I12" i="3"/>
  <c r="I23" i="3" s="1"/>
  <c r="I10" i="3"/>
  <c r="I21" i="3" s="1"/>
  <c r="H12" i="3"/>
  <c r="H23" i="3" s="1"/>
  <c r="G12" i="3"/>
  <c r="G10" i="3"/>
  <c r="G21" i="3" s="1"/>
  <c r="H10" i="3"/>
  <c r="I22" i="3"/>
  <c r="K12" i="3"/>
  <c r="I17" i="3"/>
  <c r="H21" i="3"/>
  <c r="G23" i="3"/>
  <c r="G17" i="3"/>
  <c r="AE12" i="1"/>
  <c r="AD11" i="1"/>
  <c r="AD13" i="1"/>
  <c r="AE11" i="1"/>
  <c r="AD40" i="1"/>
  <c r="AC12" i="1"/>
  <c r="AC13" i="1"/>
  <c r="AG9" i="1"/>
  <c r="AE13" i="1"/>
  <c r="AC29" i="1"/>
  <c r="AC40" i="1" s="1"/>
  <c r="AE29" i="1"/>
  <c r="AD30" i="1"/>
  <c r="AD41" i="1" s="1"/>
  <c r="AC30" i="1"/>
  <c r="AE30" i="1"/>
  <c r="AE41" i="1" s="1"/>
  <c r="AC28" i="1"/>
  <c r="AC39" i="1" s="1"/>
  <c r="AD28" i="1"/>
  <c r="AD39" i="1" s="1"/>
  <c r="AG12" i="1"/>
  <c r="AG11" i="1"/>
  <c r="T36" i="2"/>
  <c r="E21" i="2"/>
  <c r="I34" i="2"/>
  <c r="U22" i="2"/>
  <c r="D3" i="2"/>
  <c r="J20" i="2"/>
  <c r="O19" i="2"/>
  <c r="E34" i="2"/>
  <c r="J18" i="2"/>
  <c r="N14" i="2"/>
  <c r="U3" i="2"/>
  <c r="D32" i="2"/>
  <c r="D16" i="2"/>
  <c r="E33" i="2"/>
  <c r="E17" i="2"/>
  <c r="F2" i="2"/>
  <c r="F21" i="2"/>
  <c r="F5" i="2"/>
  <c r="G24" i="2"/>
  <c r="G8" i="2"/>
  <c r="H27" i="2"/>
  <c r="H11" i="2"/>
  <c r="I30" i="2"/>
  <c r="I14" i="2"/>
  <c r="J33" i="2"/>
  <c r="J17" i="2"/>
  <c r="K36" i="2"/>
  <c r="K20" i="2"/>
  <c r="K4" i="2"/>
  <c r="L23" i="2"/>
  <c r="L7" i="2"/>
  <c r="M26" i="2"/>
  <c r="M10" i="2"/>
  <c r="N29" i="2"/>
  <c r="N13" i="2"/>
  <c r="O32" i="2"/>
  <c r="O16" i="2"/>
  <c r="P33" i="2"/>
  <c r="P17" i="2"/>
  <c r="P35" i="2"/>
  <c r="Q22" i="2"/>
  <c r="Q6" i="2"/>
  <c r="R25" i="2"/>
  <c r="R9" i="2"/>
  <c r="S28" i="2"/>
  <c r="S12" i="2"/>
  <c r="T31" i="2"/>
  <c r="T15" i="2"/>
  <c r="U34" i="2"/>
  <c r="U18" i="2"/>
  <c r="E7" i="2"/>
  <c r="S16" i="2"/>
  <c r="F8" i="2"/>
  <c r="J4" i="2"/>
  <c r="N32" i="2"/>
  <c r="H28" i="2"/>
  <c r="U19" i="2"/>
  <c r="D31" i="2"/>
  <c r="D15" i="2"/>
  <c r="E32" i="2"/>
  <c r="E16" i="2"/>
  <c r="F36" i="2"/>
  <c r="F20" i="2"/>
  <c r="F4" i="2"/>
  <c r="G23" i="2"/>
  <c r="G7" i="2"/>
  <c r="H26" i="2"/>
  <c r="H10" i="2"/>
  <c r="I29" i="2"/>
  <c r="I13" i="2"/>
  <c r="J32" i="2"/>
  <c r="J16" i="2"/>
  <c r="K35" i="2"/>
  <c r="K19" i="2"/>
  <c r="K3" i="2"/>
  <c r="L22" i="2"/>
  <c r="L6" i="2"/>
  <c r="M25" i="2"/>
  <c r="M9" i="2"/>
  <c r="N28" i="2"/>
  <c r="N12" i="2"/>
  <c r="O31" i="2"/>
  <c r="O15" i="2"/>
  <c r="P32" i="2"/>
  <c r="P16" i="2"/>
  <c r="Q2" i="2"/>
  <c r="Q21" i="2"/>
  <c r="Q5" i="2"/>
  <c r="R24" i="2"/>
  <c r="R8" i="2"/>
  <c r="S27" i="2"/>
  <c r="S11" i="2"/>
  <c r="T30" i="2"/>
  <c r="T14" i="2"/>
  <c r="U33" i="2"/>
  <c r="U17" i="2"/>
  <c r="T20" i="2"/>
  <c r="J2" i="2"/>
  <c r="N33" i="2"/>
  <c r="T19" i="2"/>
  <c r="E20" i="2"/>
  <c r="H14" i="2"/>
  <c r="P20" i="2"/>
  <c r="D33" i="2"/>
  <c r="E35" i="2"/>
  <c r="F6" i="2"/>
  <c r="H12" i="2"/>
  <c r="K2" i="2"/>
  <c r="L24" i="2"/>
  <c r="O33" i="2"/>
  <c r="P18" i="2"/>
  <c r="R26" i="2"/>
  <c r="S29" i="2"/>
  <c r="U35" i="2"/>
  <c r="D30" i="2"/>
  <c r="D14" i="2"/>
  <c r="E31" i="2"/>
  <c r="E15" i="2"/>
  <c r="F35" i="2"/>
  <c r="F19" i="2"/>
  <c r="F3" i="2"/>
  <c r="G22" i="2"/>
  <c r="G6" i="2"/>
  <c r="H25" i="2"/>
  <c r="H9" i="2"/>
  <c r="I28" i="2"/>
  <c r="I12" i="2"/>
  <c r="J31" i="2"/>
  <c r="J15" i="2"/>
  <c r="K34" i="2"/>
  <c r="K18" i="2"/>
  <c r="L2" i="2"/>
  <c r="L21" i="2"/>
  <c r="L5" i="2"/>
  <c r="M24" i="2"/>
  <c r="M8" i="2"/>
  <c r="N27" i="2"/>
  <c r="N11" i="2"/>
  <c r="O30" i="2"/>
  <c r="O14" i="2"/>
  <c r="P31" i="2"/>
  <c r="P15" i="2"/>
  <c r="Q36" i="2"/>
  <c r="Q20" i="2"/>
  <c r="Q4" i="2"/>
  <c r="R23" i="2"/>
  <c r="R7" i="2"/>
  <c r="S26" i="2"/>
  <c r="S10" i="2"/>
  <c r="T29" i="2"/>
  <c r="T13" i="2"/>
  <c r="U32" i="2"/>
  <c r="U16" i="2"/>
  <c r="U23" i="2"/>
  <c r="O20" i="2"/>
  <c r="T3" i="2"/>
  <c r="D35" i="2"/>
  <c r="P4" i="2"/>
  <c r="D17" i="2"/>
  <c r="E18" i="2"/>
  <c r="F22" i="2"/>
  <c r="J34" i="2"/>
  <c r="L8" i="2"/>
  <c r="N30" i="2"/>
  <c r="P34" i="2"/>
  <c r="P36" i="2"/>
  <c r="R10" i="2"/>
  <c r="S13" i="2"/>
  <c r="T16" i="2"/>
  <c r="D29" i="2"/>
  <c r="D13" i="2"/>
  <c r="E30" i="2"/>
  <c r="E14" i="2"/>
  <c r="F34" i="2"/>
  <c r="F18" i="2"/>
  <c r="G2" i="2"/>
  <c r="G21" i="2"/>
  <c r="G5" i="2"/>
  <c r="H24" i="2"/>
  <c r="H8" i="2"/>
  <c r="I27" i="2"/>
  <c r="I11" i="2"/>
  <c r="J30" i="2"/>
  <c r="J14" i="2"/>
  <c r="K33" i="2"/>
  <c r="K17" i="2"/>
  <c r="L36" i="2"/>
  <c r="L20" i="2"/>
  <c r="L4" i="2"/>
  <c r="M23" i="2"/>
  <c r="M7" i="2"/>
  <c r="N26" i="2"/>
  <c r="N10" i="2"/>
  <c r="O29" i="2"/>
  <c r="O13" i="2"/>
  <c r="P30" i="2"/>
  <c r="P14" i="2"/>
  <c r="Q35" i="2"/>
  <c r="Q19" i="2"/>
  <c r="Q3" i="2"/>
  <c r="R22" i="2"/>
  <c r="R6" i="2"/>
  <c r="S25" i="2"/>
  <c r="S9" i="2"/>
  <c r="T28" i="2"/>
  <c r="T12" i="2"/>
  <c r="U31" i="2"/>
  <c r="U15" i="2"/>
  <c r="E23" i="2"/>
  <c r="I3" i="2"/>
  <c r="N18" i="2"/>
  <c r="N17" i="2"/>
  <c r="T35" i="2"/>
  <c r="E4" i="2"/>
  <c r="I17" i="2"/>
  <c r="N16" i="2"/>
  <c r="O17" i="2"/>
  <c r="T32" i="2"/>
  <c r="D28" i="2"/>
  <c r="D12" i="2"/>
  <c r="E29" i="2"/>
  <c r="E13" i="2"/>
  <c r="F33" i="2"/>
  <c r="F17" i="2"/>
  <c r="G36" i="2"/>
  <c r="G20" i="2"/>
  <c r="G4" i="2"/>
  <c r="H23" i="2"/>
  <c r="H7" i="2"/>
  <c r="I26" i="2"/>
  <c r="I10" i="2"/>
  <c r="J29" i="2"/>
  <c r="J13" i="2"/>
  <c r="K32" i="2"/>
  <c r="K16" i="2"/>
  <c r="L35" i="2"/>
  <c r="L19" i="2"/>
  <c r="L3" i="2"/>
  <c r="M22" i="2"/>
  <c r="M6" i="2"/>
  <c r="N25" i="2"/>
  <c r="N9" i="2"/>
  <c r="O28" i="2"/>
  <c r="O12" i="2"/>
  <c r="P29" i="2"/>
  <c r="P13" i="2"/>
  <c r="Q34" i="2"/>
  <c r="Q18" i="2"/>
  <c r="R2" i="2"/>
  <c r="R21" i="2"/>
  <c r="R5" i="2"/>
  <c r="S24" i="2"/>
  <c r="S8" i="2"/>
  <c r="T27" i="2"/>
  <c r="T11" i="2"/>
  <c r="U30" i="2"/>
  <c r="U14" i="2"/>
  <c r="I19" i="2"/>
  <c r="D11" i="2"/>
  <c r="E12" i="2"/>
  <c r="G19" i="2"/>
  <c r="J28" i="2"/>
  <c r="R36" i="2"/>
  <c r="S23" i="2"/>
  <c r="T10" i="2"/>
  <c r="U13" i="2"/>
  <c r="E6" i="2"/>
  <c r="S32" i="2"/>
  <c r="D27" i="2"/>
  <c r="E28" i="2"/>
  <c r="F32" i="2"/>
  <c r="F16" i="2"/>
  <c r="G35" i="2"/>
  <c r="G3" i="2"/>
  <c r="H22" i="2"/>
  <c r="H6" i="2"/>
  <c r="J12" i="2"/>
  <c r="L34" i="2"/>
  <c r="L18" i="2"/>
  <c r="M2" i="2"/>
  <c r="N24" i="2"/>
  <c r="N8" i="2"/>
  <c r="P28" i="2"/>
  <c r="P12" i="2"/>
  <c r="Q33" i="2"/>
  <c r="Q17" i="2"/>
  <c r="R20" i="2"/>
  <c r="R4" i="2"/>
  <c r="S7" i="2"/>
  <c r="T26" i="2"/>
  <c r="U29" i="2"/>
  <c r="D26" i="2"/>
  <c r="D10" i="2"/>
  <c r="E27" i="2"/>
  <c r="E11" i="2"/>
  <c r="F31" i="2"/>
  <c r="F15" i="2"/>
  <c r="G34" i="2"/>
  <c r="G18" i="2"/>
  <c r="H2" i="2"/>
  <c r="H21" i="2"/>
  <c r="H5" i="2"/>
  <c r="I24" i="2"/>
  <c r="I8" i="2"/>
  <c r="J27" i="2"/>
  <c r="J11" i="2"/>
  <c r="K30" i="2"/>
  <c r="K14" i="2"/>
  <c r="L33" i="2"/>
  <c r="L17" i="2"/>
  <c r="M36" i="2"/>
  <c r="M20" i="2"/>
  <c r="M4" i="2"/>
  <c r="N23" i="2"/>
  <c r="N7" i="2"/>
  <c r="O26" i="2"/>
  <c r="O10" i="2"/>
  <c r="P27" i="2"/>
  <c r="P11" i="2"/>
  <c r="Q32" i="2"/>
  <c r="Q16" i="2"/>
  <c r="R35" i="2"/>
  <c r="R19" i="2"/>
  <c r="R3" i="2"/>
  <c r="S22" i="2"/>
  <c r="S6" i="2"/>
  <c r="T25" i="2"/>
  <c r="T9" i="2"/>
  <c r="U28" i="2"/>
  <c r="U12" i="2"/>
  <c r="I35" i="2"/>
  <c r="D25" i="2"/>
  <c r="D9" i="2"/>
  <c r="E26" i="2"/>
  <c r="E10" i="2"/>
  <c r="F30" i="2"/>
  <c r="F14" i="2"/>
  <c r="G33" i="2"/>
  <c r="G17" i="2"/>
  <c r="H36" i="2"/>
  <c r="H20" i="2"/>
  <c r="H4" i="2"/>
  <c r="J26" i="2"/>
  <c r="J10" i="2"/>
  <c r="L32" i="2"/>
  <c r="L16" i="2"/>
  <c r="M35" i="2"/>
  <c r="M19" i="2"/>
  <c r="M3" i="2"/>
  <c r="N22" i="2"/>
  <c r="N6" i="2"/>
  <c r="R34" i="2"/>
  <c r="R18" i="2"/>
  <c r="S2" i="2"/>
  <c r="S21" i="2"/>
  <c r="S5" i="2"/>
  <c r="T24" i="2"/>
  <c r="T8" i="2"/>
  <c r="U27" i="2"/>
  <c r="U11" i="2"/>
  <c r="D24" i="2"/>
  <c r="D8" i="2"/>
  <c r="E25" i="2"/>
  <c r="E9" i="2"/>
  <c r="F29" i="2"/>
  <c r="F13" i="2"/>
  <c r="G32" i="2"/>
  <c r="G16" i="2"/>
  <c r="H35" i="2"/>
  <c r="H19" i="2"/>
  <c r="H3" i="2"/>
  <c r="I22" i="2"/>
  <c r="I6" i="2"/>
  <c r="J25" i="2"/>
  <c r="J9" i="2"/>
  <c r="K28" i="2"/>
  <c r="K12" i="2"/>
  <c r="L31" i="2"/>
  <c r="L15" i="2"/>
  <c r="M34" i="2"/>
  <c r="M18" i="2"/>
  <c r="N2" i="2"/>
  <c r="O24" i="2"/>
  <c r="O8" i="2"/>
  <c r="P25" i="2"/>
  <c r="P9" i="2"/>
  <c r="Q30" i="2"/>
  <c r="Q14" i="2"/>
  <c r="R33" i="2"/>
  <c r="R17" i="2"/>
  <c r="S36" i="2"/>
  <c r="S20" i="2"/>
  <c r="S4" i="2"/>
  <c r="T23" i="2"/>
  <c r="T7" i="2"/>
  <c r="U26" i="2"/>
  <c r="U10" i="2"/>
  <c r="T4" i="2"/>
  <c r="D23" i="2"/>
  <c r="D7" i="2"/>
  <c r="E24" i="2"/>
  <c r="E8" i="2"/>
  <c r="F28" i="2"/>
  <c r="F12" i="2"/>
  <c r="H34" i="2"/>
  <c r="H18" i="2"/>
  <c r="I2" i="2"/>
  <c r="J24" i="2"/>
  <c r="J8" i="2"/>
  <c r="M33" i="2"/>
  <c r="M17" i="2"/>
  <c r="N20" i="2"/>
  <c r="N4" i="2"/>
  <c r="P24" i="2"/>
  <c r="P8" i="2"/>
  <c r="R32" i="2"/>
  <c r="R16" i="2"/>
  <c r="S35" i="2"/>
  <c r="S19" i="2"/>
  <c r="S3" i="2"/>
  <c r="T22" i="2"/>
  <c r="T6" i="2"/>
  <c r="U25" i="2"/>
  <c r="U9" i="2"/>
  <c r="N35" i="2"/>
  <c r="N19" i="2"/>
  <c r="N3" i="2"/>
  <c r="S34" i="2"/>
  <c r="S18" i="2"/>
  <c r="T2" i="2"/>
  <c r="T21" i="2"/>
  <c r="T5" i="2"/>
  <c r="U24" i="2"/>
  <c r="U8" i="2"/>
  <c r="U7" i="2"/>
  <c r="E22" i="2"/>
  <c r="N34" i="2"/>
  <c r="E5" i="2"/>
  <c r="I18" i="2"/>
  <c r="O4" i="2"/>
  <c r="U6" i="2"/>
  <c r="D19" i="2"/>
  <c r="F24" i="2"/>
  <c r="H30" i="2"/>
  <c r="I33" i="2"/>
  <c r="J36" i="2"/>
  <c r="O35" i="2"/>
  <c r="O3" i="2"/>
  <c r="R28" i="2"/>
  <c r="R12" i="2"/>
  <c r="S31" i="2"/>
  <c r="S15" i="2"/>
  <c r="T34" i="2"/>
  <c r="T18" i="2"/>
  <c r="U2" i="2"/>
  <c r="U21" i="2"/>
  <c r="U5" i="2"/>
  <c r="D34" i="2"/>
  <c r="D18" i="2"/>
  <c r="E2" i="2"/>
  <c r="E19" i="2"/>
  <c r="E3" i="2"/>
  <c r="J19" i="2"/>
  <c r="J3" i="2"/>
  <c r="P19" i="2"/>
  <c r="M3" i="1"/>
  <c r="M5" i="1"/>
  <c r="N4" i="1"/>
  <c r="L4" i="1"/>
  <c r="N3" i="1"/>
  <c r="L5" i="1"/>
  <c r="J31" i="10" l="1"/>
  <c r="N20" i="10"/>
  <c r="J27" i="10"/>
  <c r="P25" i="10"/>
  <c r="K32" i="10"/>
  <c r="L31" i="10"/>
  <c r="L27" i="10"/>
  <c r="N18" i="10"/>
  <c r="J33" i="10"/>
  <c r="N21" i="10"/>
  <c r="K22" i="10"/>
  <c r="K33" i="10" s="1"/>
  <c r="K27" i="10"/>
  <c r="L33" i="10"/>
  <c r="N27" i="10"/>
  <c r="N18" i="9"/>
  <c r="N16" i="9"/>
  <c r="J27" i="9"/>
  <c r="J23" i="9"/>
  <c r="L29" i="9"/>
  <c r="N23" i="9"/>
  <c r="N17" i="9"/>
  <c r="J28" i="9"/>
  <c r="K27" i="9"/>
  <c r="K23" i="9"/>
  <c r="O14" i="6"/>
  <c r="K25" i="6"/>
  <c r="L24" i="6"/>
  <c r="L20" i="6"/>
  <c r="K24" i="6"/>
  <c r="K20" i="6"/>
  <c r="O13" i="6"/>
  <c r="O11" i="6"/>
  <c r="M20" i="6"/>
  <c r="M24" i="6"/>
  <c r="O20" i="6"/>
  <c r="M15" i="8"/>
  <c r="I26" i="8"/>
  <c r="J20" i="8"/>
  <c r="M20" i="8"/>
  <c r="I14" i="8"/>
  <c r="I25" i="8" s="1"/>
  <c r="K20" i="8"/>
  <c r="K24" i="8"/>
  <c r="M13" i="8"/>
  <c r="M11" i="8"/>
  <c r="K17" i="7"/>
  <c r="G28" i="7"/>
  <c r="G27" i="7"/>
  <c r="K16" i="7"/>
  <c r="I26" i="7"/>
  <c r="I22" i="7"/>
  <c r="K13" i="7"/>
  <c r="H22" i="7"/>
  <c r="H26" i="7"/>
  <c r="G26" i="7"/>
  <c r="G22" i="7"/>
  <c r="K15" i="7"/>
  <c r="O16" i="5"/>
  <c r="O21" i="5"/>
  <c r="O15" i="5"/>
  <c r="K26" i="5"/>
  <c r="M25" i="5"/>
  <c r="M21" i="5"/>
  <c r="O12" i="5"/>
  <c r="L25" i="5"/>
  <c r="L21" i="5"/>
  <c r="K25" i="5"/>
  <c r="K21" i="5"/>
  <c r="O14" i="5"/>
  <c r="U41" i="4"/>
  <c r="Q52" i="4"/>
  <c r="R47" i="4"/>
  <c r="Q47" i="4"/>
  <c r="U38" i="4"/>
  <c r="U47" i="4"/>
  <c r="T15" i="4"/>
  <c r="J47" i="4"/>
  <c r="J42" i="4"/>
  <c r="F53" i="4"/>
  <c r="J41" i="4"/>
  <c r="F52" i="4"/>
  <c r="F51" i="4"/>
  <c r="J40" i="4"/>
  <c r="F47" i="4"/>
  <c r="H51" i="4"/>
  <c r="H47" i="4"/>
  <c r="J38" i="4"/>
  <c r="G51" i="4"/>
  <c r="G47" i="4"/>
  <c r="G20" i="4"/>
  <c r="J11" i="4"/>
  <c r="T14" i="4"/>
  <c r="Q24" i="4"/>
  <c r="Q20" i="4"/>
  <c r="R20" i="4"/>
  <c r="P24" i="4"/>
  <c r="T13" i="4"/>
  <c r="P20" i="4"/>
  <c r="T20" i="4"/>
  <c r="J15" i="4"/>
  <c r="L15" i="4" s="1"/>
  <c r="H20" i="4"/>
  <c r="J14" i="4"/>
  <c r="F25" i="4"/>
  <c r="F24" i="4"/>
  <c r="J13" i="4"/>
  <c r="F20" i="4"/>
  <c r="J20" i="4"/>
  <c r="R41" i="3"/>
  <c r="P46" i="3"/>
  <c r="T35" i="3"/>
  <c r="Q41" i="3"/>
  <c r="Q45" i="3"/>
  <c r="T32" i="3"/>
  <c r="T34" i="3"/>
  <c r="P45" i="3"/>
  <c r="P41" i="3"/>
  <c r="T41" i="3"/>
  <c r="K36" i="3"/>
  <c r="G47" i="3"/>
  <c r="G42" i="3"/>
  <c r="T12" i="3"/>
  <c r="P23" i="3"/>
  <c r="Q21" i="3"/>
  <c r="Q17" i="3"/>
  <c r="T11" i="3"/>
  <c r="P22" i="3"/>
  <c r="R21" i="3"/>
  <c r="R17" i="3"/>
  <c r="T8" i="3"/>
  <c r="P17" i="3"/>
  <c r="P21" i="3"/>
  <c r="T10" i="3"/>
  <c r="T17" i="3"/>
  <c r="K11" i="3"/>
  <c r="K8" i="3"/>
  <c r="H17" i="3"/>
  <c r="K17" i="3"/>
  <c r="K10" i="3"/>
  <c r="AE40" i="1"/>
  <c r="AE35" i="1"/>
  <c r="AC18" i="1"/>
  <c r="AE18" i="1"/>
  <c r="AD18" i="1"/>
  <c r="AG26" i="1"/>
  <c r="AC41" i="1"/>
  <c r="AG18" i="1"/>
  <c r="AG13" i="1"/>
  <c r="AG29" i="1"/>
  <c r="AD35" i="1"/>
  <c r="AG28" i="1"/>
  <c r="AC35" i="1"/>
  <c r="AG35" i="1"/>
  <c r="AG30" i="1"/>
  <c r="P15" i="1"/>
  <c r="N5" i="1"/>
  <c r="M15" i="1"/>
  <c r="P12" i="1"/>
  <c r="P13" i="1"/>
  <c r="P11" i="1"/>
  <c r="L15" i="1"/>
  <c r="N15" i="1"/>
  <c r="P9" i="1"/>
  <c r="N22" i="10" l="1"/>
  <c r="P27" i="10" s="1"/>
  <c r="P20" i="10"/>
  <c r="P16" i="9"/>
  <c r="P18" i="9"/>
  <c r="Q15" i="6"/>
  <c r="Q13" i="6"/>
  <c r="O15" i="8"/>
  <c r="O13" i="8"/>
  <c r="I20" i="8"/>
  <c r="M14" i="8"/>
  <c r="M15" i="7"/>
  <c r="M17" i="7"/>
  <c r="Q14" i="5"/>
  <c r="Q16" i="5"/>
  <c r="P22" i="10" l="1"/>
</calcChain>
</file>

<file path=xl/sharedStrings.xml><?xml version="1.0" encoding="utf-8"?>
<sst xmlns="http://schemas.openxmlformats.org/spreadsheetml/2006/main" count="119" uniqueCount="36">
  <si>
    <t>a</t>
  </si>
  <si>
    <t>a-b</t>
  </si>
  <si>
    <r>
      <t>a</t>
    </r>
    <r>
      <rPr>
        <sz val="11"/>
        <color theme="1"/>
        <rFont val="Aptos Narrow"/>
        <family val="2"/>
      </rPr>
      <t>±e</t>
    </r>
  </si>
  <si>
    <t>a±d</t>
  </si>
  <si>
    <t>a±c</t>
  </si>
  <si>
    <t>a±e</t>
  </si>
  <si>
    <t>a-v</t>
  </si>
  <si>
    <t>±2</t>
  </si>
  <si>
    <t>±3</t>
  </si>
  <si>
    <t>±1</t>
  </si>
  <si>
    <t>±4</t>
  </si>
  <si>
    <t>A=</t>
  </si>
  <si>
    <t>sum=</t>
  </si>
  <si>
    <t>SQUARE</t>
  </si>
  <si>
    <t>Sum=</t>
  </si>
  <si>
    <t>Error</t>
  </si>
  <si>
    <t>r1</t>
  </si>
  <si>
    <t>r2</t>
  </si>
  <si>
    <t>r3</t>
  </si>
  <si>
    <r>
      <t>Block 1:</t>
    </r>
    <r>
      <rPr>
        <sz val="11"/>
        <color theme="1"/>
        <rFont val="Aptos Narrow"/>
        <family val="2"/>
        <scheme val="minor"/>
      </rPr>
      <t xml:space="preserve"> −6 135 360</t>
    </r>
  </si>
  <si>
    <r>
      <t>Block 2:</t>
    </r>
    <r>
      <rPr>
        <sz val="11"/>
        <color theme="1"/>
        <rFont val="Aptos Narrow"/>
        <family val="2"/>
        <scheme val="minor"/>
      </rPr>
      <t xml:space="preserve"> −40 664 400</t>
    </r>
  </si>
  <si>
    <r>
      <t>Block 3:</t>
    </r>
    <r>
      <rPr>
        <sz val="11"/>
        <color theme="1"/>
        <rFont val="Aptos Narrow"/>
        <family val="2"/>
        <scheme val="minor"/>
      </rPr>
      <t xml:space="preserve"> 10 061 520</t>
    </r>
  </si>
  <si>
    <r>
      <t>Block 4:</t>
    </r>
    <r>
      <rPr>
        <sz val="11"/>
        <color theme="1"/>
        <rFont val="Aptos Narrow"/>
        <family val="2"/>
        <scheme val="minor"/>
      </rPr>
      <t xml:space="preserve"> −24 518 520</t>
    </r>
  </si>
  <si>
    <r>
      <t>Block 5:</t>
    </r>
    <r>
      <rPr>
        <sz val="11"/>
        <color theme="1"/>
        <rFont val="Aptos Narrow"/>
        <family val="2"/>
        <scheme val="minor"/>
      </rPr>
      <t xml:space="preserve"> −27 466 560</t>
    </r>
  </si>
  <si>
    <r>
      <t>Block 6:</t>
    </r>
    <r>
      <rPr>
        <sz val="11"/>
        <color theme="1"/>
        <rFont val="Aptos Narrow"/>
        <family val="2"/>
        <scheme val="minor"/>
      </rPr>
      <t xml:space="preserve"> 30 310 320</t>
    </r>
  </si>
  <si>
    <r>
      <t>Block 7:</t>
    </r>
    <r>
      <rPr>
        <sz val="11"/>
        <color theme="1"/>
        <rFont val="Aptos Narrow"/>
        <family val="2"/>
        <scheme val="minor"/>
      </rPr>
      <t xml:space="preserve"> </t>
    </r>
  </si>
  <si>
    <t>r4</t>
  </si>
  <si>
    <t>r4=diff of (r1 , r3)</t>
  </si>
  <si>
    <t>C2</t>
  </si>
  <si>
    <t>b2</t>
  </si>
  <si>
    <t>d2</t>
  </si>
  <si>
    <t>e2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</si>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</sst>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2" borderId="1" xfId="0" applyFill="1" applyBorder="1"/>
    <xf numFmtId="0" fontId="0" fillId="10" borderId="1" xfId="0" applyFill="1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0" fillId="2" borderId="0" xfId="0" applyNumberFormat="1" applyFill="1"/>
    <xf numFmtId="2" fontId="0" fillId="0" borderId="1" xfId="0" applyNumberFormat="1" applyBorder="1"/>
    <xf numFmtId="2" fontId="0" fillId="2" borderId="1" xfId="0" applyNumberFormat="1" applyFill="1" applyBorder="1"/>
    <xf numFmtId="2" fontId="0" fillId="11" borderId="0" xfId="0" applyNumberFormat="1" applyFill="1"/>
    <xf numFmtId="2" fontId="0" fillId="0" borderId="0" xfId="0" applyNumberFormat="1"/>
    <xf numFmtId="2" fontId="1" fillId="3" borderId="0" xfId="0" applyNumberFormat="1" applyFont="1" applyFill="1"/>
    <xf numFmtId="0" fontId="0" fillId="1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ustomXml" Target="../ink/ink11.xml"/><Relationship Id="rId3" Type="http://schemas.openxmlformats.org/officeDocument/2006/relationships/customXml" Target="../ink/ink6.xml"/><Relationship Id="rId7" Type="http://schemas.openxmlformats.org/officeDocument/2006/relationships/customXml" Target="../ink/ink8.xml"/><Relationship Id="rId12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1" Type="http://schemas.openxmlformats.org/officeDocument/2006/relationships/customXml" Target="../ink/ink5.xml"/><Relationship Id="rId6" Type="http://schemas.openxmlformats.org/officeDocument/2006/relationships/image" Target="../media/image7.png"/><Relationship Id="rId11" Type="http://schemas.openxmlformats.org/officeDocument/2006/relationships/customXml" Target="../ink/ink10.xml"/><Relationship Id="rId5" Type="http://schemas.openxmlformats.org/officeDocument/2006/relationships/customXml" Target="../ink/ink7.xml"/><Relationship Id="rId15" Type="http://schemas.openxmlformats.org/officeDocument/2006/relationships/customXml" Target="../ink/ink12.xml"/><Relationship Id="rId10" Type="http://schemas.openxmlformats.org/officeDocument/2006/relationships/image" Target="../media/image9.png"/><Relationship Id="rId4" Type="http://schemas.openxmlformats.org/officeDocument/2006/relationships/image" Target="../media/image6.png"/><Relationship Id="rId9" Type="http://schemas.openxmlformats.org/officeDocument/2006/relationships/customXml" Target="../ink/ink9.xml"/><Relationship Id="rId1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6.xml"/><Relationship Id="rId3" Type="http://schemas.openxmlformats.org/officeDocument/2006/relationships/customXml" Target="../ink/ink14.xml"/><Relationship Id="rId12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1" Type="http://schemas.openxmlformats.org/officeDocument/2006/relationships/customXml" Target="../ink/ink13.xml"/><Relationship Id="rId11" Type="http://schemas.openxmlformats.org/officeDocument/2006/relationships/customXml" Target="../ink/ink15.xml"/><Relationship Id="rId15" Type="http://schemas.openxmlformats.org/officeDocument/2006/relationships/customXml" Target="../ink/ink17.xml"/><Relationship Id="rId10" Type="http://schemas.openxmlformats.org/officeDocument/2006/relationships/image" Target="../media/image9.png"/><Relationship Id="rId1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1.xml"/><Relationship Id="rId3" Type="http://schemas.openxmlformats.org/officeDocument/2006/relationships/customXml" Target="../ink/ink19.xml"/><Relationship Id="rId12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1" Type="http://schemas.openxmlformats.org/officeDocument/2006/relationships/customXml" Target="../ink/ink18.xml"/><Relationship Id="rId11" Type="http://schemas.openxmlformats.org/officeDocument/2006/relationships/customXml" Target="../ink/ink20.xml"/><Relationship Id="rId15" Type="http://schemas.openxmlformats.org/officeDocument/2006/relationships/customXml" Target="../ink/ink22.xml"/><Relationship Id="rId10" Type="http://schemas.openxmlformats.org/officeDocument/2006/relationships/image" Target="../media/image9.png"/><Relationship Id="rId1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6.xml"/><Relationship Id="rId3" Type="http://schemas.openxmlformats.org/officeDocument/2006/relationships/customXml" Target="../ink/ink24.xml"/><Relationship Id="rId12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1" Type="http://schemas.openxmlformats.org/officeDocument/2006/relationships/customXml" Target="../ink/ink23.xml"/><Relationship Id="rId11" Type="http://schemas.openxmlformats.org/officeDocument/2006/relationships/customXml" Target="../ink/ink25.xml"/><Relationship Id="rId15" Type="http://schemas.openxmlformats.org/officeDocument/2006/relationships/customXml" Target="../ink/ink27.xml"/><Relationship Id="rId10" Type="http://schemas.openxmlformats.org/officeDocument/2006/relationships/image" Target="../media/image9.png"/><Relationship Id="rId1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1.xml"/><Relationship Id="rId3" Type="http://schemas.openxmlformats.org/officeDocument/2006/relationships/customXml" Target="../ink/ink29.xml"/><Relationship Id="rId12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1" Type="http://schemas.openxmlformats.org/officeDocument/2006/relationships/customXml" Target="../ink/ink28.xml"/><Relationship Id="rId11" Type="http://schemas.openxmlformats.org/officeDocument/2006/relationships/customXml" Target="../ink/ink30.xml"/><Relationship Id="rId15" Type="http://schemas.openxmlformats.org/officeDocument/2006/relationships/customXml" Target="../ink/ink32.xml"/><Relationship Id="rId10" Type="http://schemas.openxmlformats.org/officeDocument/2006/relationships/image" Target="../media/image9.png"/><Relationship Id="rId1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6.xml"/><Relationship Id="rId18" Type="http://schemas.openxmlformats.org/officeDocument/2006/relationships/image" Target="../media/image13.png"/><Relationship Id="rId26" Type="http://schemas.openxmlformats.org/officeDocument/2006/relationships/image" Target="../media/image17.png"/><Relationship Id="rId3" Type="http://schemas.openxmlformats.org/officeDocument/2006/relationships/customXml" Target="../ink/ink34.xml"/><Relationship Id="rId21" Type="http://schemas.openxmlformats.org/officeDocument/2006/relationships/customXml" Target="../ink/ink40.xml"/><Relationship Id="rId34" Type="http://schemas.openxmlformats.org/officeDocument/2006/relationships/image" Target="../media/image21.png"/><Relationship Id="rId12" Type="http://schemas.openxmlformats.org/officeDocument/2006/relationships/image" Target="../media/image10.png"/><Relationship Id="rId17" Type="http://schemas.openxmlformats.org/officeDocument/2006/relationships/customXml" Target="../ink/ink38.xml"/><Relationship Id="rId25" Type="http://schemas.openxmlformats.org/officeDocument/2006/relationships/customXml" Target="../ink/ink42.xml"/><Relationship Id="rId33" Type="http://schemas.openxmlformats.org/officeDocument/2006/relationships/customXml" Target="../ink/ink46.xml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20" Type="http://schemas.openxmlformats.org/officeDocument/2006/relationships/image" Target="../media/image14.png"/><Relationship Id="rId29" Type="http://schemas.openxmlformats.org/officeDocument/2006/relationships/customXml" Target="../ink/ink44.xml"/><Relationship Id="rId1" Type="http://schemas.openxmlformats.org/officeDocument/2006/relationships/customXml" Target="../ink/ink33.xml"/><Relationship Id="rId11" Type="http://schemas.openxmlformats.org/officeDocument/2006/relationships/customXml" Target="../ink/ink35.xml"/><Relationship Id="rId24" Type="http://schemas.openxmlformats.org/officeDocument/2006/relationships/image" Target="../media/image16.png"/><Relationship Id="rId32" Type="http://schemas.openxmlformats.org/officeDocument/2006/relationships/image" Target="../media/image20.png"/><Relationship Id="rId15" Type="http://schemas.openxmlformats.org/officeDocument/2006/relationships/customXml" Target="../ink/ink37.xml"/><Relationship Id="rId23" Type="http://schemas.openxmlformats.org/officeDocument/2006/relationships/customXml" Target="../ink/ink41.xml"/><Relationship Id="rId28" Type="http://schemas.openxmlformats.org/officeDocument/2006/relationships/image" Target="../media/image18.png"/><Relationship Id="rId10" Type="http://schemas.openxmlformats.org/officeDocument/2006/relationships/image" Target="../media/image9.png"/><Relationship Id="rId19" Type="http://schemas.openxmlformats.org/officeDocument/2006/relationships/customXml" Target="../ink/ink39.xml"/><Relationship Id="rId31" Type="http://schemas.openxmlformats.org/officeDocument/2006/relationships/customXml" Target="../ink/ink45.xml"/><Relationship Id="rId14" Type="http://schemas.openxmlformats.org/officeDocument/2006/relationships/image" Target="../media/image11.png"/><Relationship Id="rId22" Type="http://schemas.openxmlformats.org/officeDocument/2006/relationships/image" Target="../media/image15.png"/><Relationship Id="rId27" Type="http://schemas.openxmlformats.org/officeDocument/2006/relationships/customXml" Target="../ink/ink43.xml"/><Relationship Id="rId30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0.xml"/><Relationship Id="rId18" Type="http://schemas.openxmlformats.org/officeDocument/2006/relationships/image" Target="../media/image13.png"/><Relationship Id="rId26" Type="http://schemas.openxmlformats.org/officeDocument/2006/relationships/image" Target="../media/image17.png"/><Relationship Id="rId3" Type="http://schemas.openxmlformats.org/officeDocument/2006/relationships/customXml" Target="../ink/ink48.xml"/><Relationship Id="rId21" Type="http://schemas.openxmlformats.org/officeDocument/2006/relationships/customXml" Target="../ink/ink54.xml"/><Relationship Id="rId34" Type="http://schemas.openxmlformats.org/officeDocument/2006/relationships/image" Target="../media/image21.png"/><Relationship Id="rId12" Type="http://schemas.openxmlformats.org/officeDocument/2006/relationships/image" Target="../media/image10.png"/><Relationship Id="rId17" Type="http://schemas.openxmlformats.org/officeDocument/2006/relationships/customXml" Target="../ink/ink52.xml"/><Relationship Id="rId25" Type="http://schemas.openxmlformats.org/officeDocument/2006/relationships/customXml" Target="../ink/ink56.xml"/><Relationship Id="rId33" Type="http://schemas.openxmlformats.org/officeDocument/2006/relationships/customXml" Target="../ink/ink60.xml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20" Type="http://schemas.openxmlformats.org/officeDocument/2006/relationships/image" Target="../media/image14.png"/><Relationship Id="rId29" Type="http://schemas.openxmlformats.org/officeDocument/2006/relationships/customXml" Target="../ink/ink58.xml"/><Relationship Id="rId1" Type="http://schemas.openxmlformats.org/officeDocument/2006/relationships/customXml" Target="../ink/ink47.xml"/><Relationship Id="rId11" Type="http://schemas.openxmlformats.org/officeDocument/2006/relationships/customXml" Target="../ink/ink49.xml"/><Relationship Id="rId24" Type="http://schemas.openxmlformats.org/officeDocument/2006/relationships/image" Target="../media/image16.png"/><Relationship Id="rId32" Type="http://schemas.openxmlformats.org/officeDocument/2006/relationships/image" Target="../media/image20.png"/><Relationship Id="rId15" Type="http://schemas.openxmlformats.org/officeDocument/2006/relationships/customXml" Target="../ink/ink51.xml"/><Relationship Id="rId23" Type="http://schemas.openxmlformats.org/officeDocument/2006/relationships/customXml" Target="../ink/ink55.xml"/><Relationship Id="rId28" Type="http://schemas.openxmlformats.org/officeDocument/2006/relationships/image" Target="../media/image18.png"/><Relationship Id="rId10" Type="http://schemas.openxmlformats.org/officeDocument/2006/relationships/image" Target="../media/image9.png"/><Relationship Id="rId19" Type="http://schemas.openxmlformats.org/officeDocument/2006/relationships/customXml" Target="../ink/ink53.xml"/><Relationship Id="rId31" Type="http://schemas.openxmlformats.org/officeDocument/2006/relationships/customXml" Target="../ink/ink59.xml"/><Relationship Id="rId14" Type="http://schemas.openxmlformats.org/officeDocument/2006/relationships/image" Target="../media/image11.png"/><Relationship Id="rId22" Type="http://schemas.openxmlformats.org/officeDocument/2006/relationships/image" Target="../media/image15.png"/><Relationship Id="rId27" Type="http://schemas.openxmlformats.org/officeDocument/2006/relationships/customXml" Target="../ink/ink57.xml"/><Relationship Id="rId30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588945</xdr:colOff>
      <xdr:row>35</xdr:row>
      <xdr:rowOff>168465</xdr:rowOff>
    </xdr:from>
    <xdr:to>
      <xdr:col>4</xdr:col>
      <xdr:colOff>566505</xdr:colOff>
      <xdr:row>45</xdr:row>
      <xdr:rowOff>161955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042A485-B02A-1872-168B-BA918B2DDD17}"/>
                </a:ext>
              </a:extLst>
            </xdr14:cNvPr>
            <xdr14:cNvContentPartPr/>
          </xdr14:nvContentPartPr>
          <xdr14:nvPr macro=""/>
          <xdr14:xfrm>
            <a:off x="2417745" y="6502590"/>
            <a:ext cx="587160" cy="1803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042A485-B02A-1872-168B-BA918B2DDD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11625" y="6496470"/>
              <a:ext cx="599400" cy="18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53505</xdr:colOff>
      <xdr:row>35</xdr:row>
      <xdr:rowOff>86385</xdr:rowOff>
    </xdr:from>
    <xdr:to>
      <xdr:col>14</xdr:col>
      <xdr:colOff>207825</xdr:colOff>
      <xdr:row>44</xdr:row>
      <xdr:rowOff>28650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44F3312-B8AE-6302-BF6E-1E5EE9306837}"/>
                </a:ext>
              </a:extLst>
            </xdr14:cNvPr>
            <xdr14:cNvContentPartPr/>
          </xdr14:nvContentPartPr>
          <xdr14:nvPr macro=""/>
          <xdr14:xfrm>
            <a:off x="7978305" y="6420510"/>
            <a:ext cx="763920" cy="1571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44F3312-B8AE-6302-BF6E-1E5EE93068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972185" y="6414390"/>
              <a:ext cx="776160" cy="158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55665</xdr:colOff>
      <xdr:row>12</xdr:row>
      <xdr:rowOff>42660</xdr:rowOff>
    </xdr:from>
    <xdr:to>
      <xdr:col>5</xdr:col>
      <xdr:colOff>29625</xdr:colOff>
      <xdr:row>20</xdr:row>
      <xdr:rowOff>29100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F5E3F1C-EA11-11BC-4993-C20296DE817B}"/>
                </a:ext>
              </a:extLst>
            </xdr14:cNvPr>
            <xdr14:cNvContentPartPr/>
          </xdr14:nvContentPartPr>
          <xdr14:nvPr macro=""/>
          <xdr14:xfrm>
            <a:off x="2494065" y="2214360"/>
            <a:ext cx="583560" cy="1434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F5E3F1C-EA11-11BC-4993-C20296DE817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87945" y="2208240"/>
              <a:ext cx="595800" cy="144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341865</xdr:colOff>
      <xdr:row>12</xdr:row>
      <xdr:rowOff>66060</xdr:rowOff>
    </xdr:from>
    <xdr:to>
      <xdr:col>14</xdr:col>
      <xdr:colOff>231585</xdr:colOff>
      <xdr:row>20</xdr:row>
      <xdr:rowOff>133860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213162F-D39D-18A9-403A-D35840A7C624}"/>
                </a:ext>
              </a:extLst>
            </xdr14:cNvPr>
            <xdr14:cNvContentPartPr/>
          </xdr14:nvContentPartPr>
          <xdr14:nvPr macro=""/>
          <xdr14:xfrm>
            <a:off x="8266665" y="2237760"/>
            <a:ext cx="499320" cy="1515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213162F-D39D-18A9-403A-D35840A7C6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260545" y="2231640"/>
              <a:ext cx="511560" cy="152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561180</xdr:colOff>
      <xdr:row>14</xdr:row>
      <xdr:rowOff>133230</xdr:rowOff>
    </xdr:from>
    <xdr:to>
      <xdr:col>4</xdr:col>
      <xdr:colOff>383655</xdr:colOff>
      <xdr:row>23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26175</xdr:colOff>
      <xdr:row>14</xdr:row>
      <xdr:rowOff>159510</xdr:rowOff>
    </xdr:from>
    <xdr:to>
      <xdr:col>14</xdr:col>
      <xdr:colOff>441555</xdr:colOff>
      <xdr:row>23</xdr:row>
      <xdr:rowOff>89385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ED758D6-94A6-F851-DFFC-01195E96A2AD}"/>
                </a:ext>
              </a:extLst>
            </xdr14:cNvPr>
            <xdr14:cNvContentPartPr/>
          </xdr14:nvContentPartPr>
          <xdr14:nvPr macro=""/>
          <xdr14:xfrm>
            <a:off x="7541400" y="2693160"/>
            <a:ext cx="1017360" cy="1554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ED758D6-94A6-F851-DFFC-01195E96A2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35380" y="2687044"/>
              <a:ext cx="1029400" cy="15670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114255</xdr:colOff>
      <xdr:row>42</xdr:row>
      <xdr:rowOff>56445</xdr:rowOff>
    </xdr:from>
    <xdr:to>
      <xdr:col>15</xdr:col>
      <xdr:colOff>259005</xdr:colOff>
      <xdr:row>50</xdr:row>
      <xdr:rowOff>76365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1FC4E25-DCCF-A37E-6416-A099CCB7E6C9}"/>
                </a:ext>
              </a:extLst>
            </xdr14:cNvPr>
            <xdr14:cNvContentPartPr/>
          </xdr14:nvContentPartPr>
          <xdr14:nvPr macro=""/>
          <xdr14:xfrm>
            <a:off x="8239080" y="7657395"/>
            <a:ext cx="758160" cy="1467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1FC4E25-DCCF-A37E-6416-A099CCB7E6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232960" y="7651275"/>
              <a:ext cx="770400" cy="14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218100</xdr:colOff>
      <xdr:row>42</xdr:row>
      <xdr:rowOff>37365</xdr:rowOff>
    </xdr:from>
    <xdr:to>
      <xdr:col>3</xdr:col>
      <xdr:colOff>193530</xdr:colOff>
      <xdr:row>50</xdr:row>
      <xdr:rowOff>100995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75FDDD9-7F10-7B2B-6D25-6B8F2F045027}"/>
                </a:ext>
              </a:extLst>
            </xdr14:cNvPr>
            <xdr14:cNvContentPartPr/>
          </xdr14:nvContentPartPr>
          <xdr14:nvPr macro=""/>
          <xdr14:xfrm>
            <a:off x="1246800" y="7638315"/>
            <a:ext cx="604080" cy="1515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5FDDD9-7F10-7B2B-6D25-6B8F2F04502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40680" y="7632195"/>
              <a:ext cx="616320" cy="152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571215</xdr:colOff>
      <xdr:row>7</xdr:row>
      <xdr:rowOff>97080</xdr:rowOff>
    </xdr:from>
    <xdr:to>
      <xdr:col>7</xdr:col>
      <xdr:colOff>522765</xdr:colOff>
      <xdr:row>8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290460</xdr:colOff>
      <xdr:row>7</xdr:row>
      <xdr:rowOff>48480</xdr:rowOff>
    </xdr:from>
    <xdr:to>
      <xdr:col>4</xdr:col>
      <xdr:colOff>514695</xdr:colOff>
      <xdr:row>8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133095</xdr:colOff>
      <xdr:row>12</xdr:row>
      <xdr:rowOff>133245</xdr:rowOff>
    </xdr:from>
    <xdr:to>
      <xdr:col>10</xdr:col>
      <xdr:colOff>533775</xdr:colOff>
      <xdr:row>12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493095</xdr:colOff>
      <xdr:row>12</xdr:row>
      <xdr:rowOff>76005</xdr:rowOff>
    </xdr:from>
    <xdr:to>
      <xdr:col>11</xdr:col>
      <xdr:colOff>985</xdr:colOff>
      <xdr:row>12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23</xdr:col>
      <xdr:colOff>169762</xdr:colOff>
      <xdr:row>12</xdr:row>
      <xdr:rowOff>9644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F174273-6391-827E-F916-6CA0C4C319B5}"/>
                </a:ext>
              </a:extLst>
            </xdr:cNvPr>
            <xdr:cNvSpPr txBox="1"/>
          </xdr:nvSpPr>
          <xdr:spPr>
            <a:xfrm>
              <a:off x="13750724" y="220883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F174273-6391-827E-F916-6CA0C4C319B5}"/>
                </a:ext>
              </a:extLst>
            </xdr:cNvPr>
            <xdr:cNvSpPr txBox="1"/>
          </xdr:nvSpPr>
          <xdr:spPr>
            <a:xfrm>
              <a:off x="13750724" y="220883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77165</xdr:colOff>
      <xdr:row>13</xdr:row>
      <xdr:rowOff>38582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00C6AF5-EDA2-4B3D-84E7-DCDF556CE848}"/>
                </a:ext>
              </a:extLst>
            </xdr:cNvPr>
            <xdr:cNvSpPr txBox="1"/>
          </xdr:nvSpPr>
          <xdr:spPr>
            <a:xfrm>
              <a:off x="14265798" y="2421038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00C6AF5-EDA2-4B3D-84E7-DCDF556CE848}"/>
                </a:ext>
              </a:extLst>
            </xdr:cNvPr>
            <xdr:cNvSpPr txBox="1"/>
          </xdr:nvSpPr>
          <xdr:spPr>
            <a:xfrm>
              <a:off x="14265798" y="2421038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84882</xdr:colOff>
      <xdr:row>11</xdr:row>
      <xdr:rowOff>181336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B9E90AE-5648-45C9-A6B3-90E6C78A910D}"/>
                </a:ext>
              </a:extLst>
            </xdr:cNvPr>
            <xdr:cNvSpPr txBox="1"/>
          </xdr:nvSpPr>
          <xdr:spPr>
            <a:xfrm>
              <a:off x="14273515" y="2197260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B9E90AE-5648-45C9-A6B3-90E6C78A910D}"/>
                </a:ext>
              </a:extLst>
            </xdr:cNvPr>
            <xdr:cNvSpPr txBox="1"/>
          </xdr:nvSpPr>
          <xdr:spPr>
            <a:xfrm>
              <a:off x="14273515" y="2197260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𝑑^2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65204</xdr:colOff>
      <xdr:row>14</xdr:row>
      <xdr:rowOff>21894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779DCD8-6044-4C3F-BEF9-C20ABB1E076D}"/>
                </a:ext>
              </a:extLst>
            </xdr:cNvPr>
            <xdr:cNvSpPr txBox="1"/>
          </xdr:nvSpPr>
          <xdr:spPr>
            <a:xfrm>
              <a:off x="14901344" y="258221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779DCD8-6044-4C3F-BEF9-C20ABB1E076D}"/>
                </a:ext>
              </a:extLst>
            </xdr:cNvPr>
            <xdr:cNvSpPr txBox="1"/>
          </xdr:nvSpPr>
          <xdr:spPr>
            <a:xfrm>
              <a:off x="14901344" y="258221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84978</xdr:colOff>
      <xdr:row>14</xdr:row>
      <xdr:rowOff>28358</xdr:rowOff>
    </xdr:from>
    <xdr:ext cx="425562" cy="1773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A636824-6751-4E53-A5B0-8FABAE71A660}"/>
                </a:ext>
              </a:extLst>
            </xdr:cNvPr>
            <xdr:cNvSpPr txBox="1"/>
          </xdr:nvSpPr>
          <xdr:spPr>
            <a:xfrm>
              <a:off x="14311518" y="2588678"/>
              <a:ext cx="425562" cy="1773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A636824-6751-4E53-A5B0-8FABAE71A660}"/>
                </a:ext>
              </a:extLst>
            </xdr:cNvPr>
            <xdr:cNvSpPr txBox="1"/>
          </xdr:nvSpPr>
          <xdr:spPr>
            <a:xfrm>
              <a:off x="14311518" y="2588678"/>
              <a:ext cx="425562" cy="1773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𝑒^2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0</xdr:colOff>
      <xdr:row>12</xdr:row>
      <xdr:rowOff>0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2BA0BB5-9486-4101-976D-52C63A1142DA}"/>
                </a:ext>
              </a:extLst>
            </xdr:cNvPr>
            <xdr:cNvSpPr txBox="1"/>
          </xdr:nvSpPr>
          <xdr:spPr>
            <a:xfrm>
              <a:off x="14836140" y="2194560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2BA0BB5-9486-4101-976D-52C63A1142DA}"/>
                </a:ext>
              </a:extLst>
            </xdr:cNvPr>
            <xdr:cNvSpPr txBox="1"/>
          </xdr:nvSpPr>
          <xdr:spPr>
            <a:xfrm>
              <a:off x="14836140" y="2194560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22860</xdr:colOff>
      <xdr:row>13</xdr:row>
      <xdr:rowOff>7620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D80C9C3-5905-4079-BD48-295F188F0758}"/>
                </a:ext>
              </a:extLst>
            </xdr:cNvPr>
            <xdr:cNvSpPr txBox="1"/>
          </xdr:nvSpPr>
          <xdr:spPr>
            <a:xfrm>
              <a:off x="14859000" y="2385060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D80C9C3-5905-4079-BD48-295F188F0758}"/>
                </a:ext>
              </a:extLst>
            </xdr:cNvPr>
            <xdr:cNvSpPr txBox="1"/>
          </xdr:nvSpPr>
          <xdr:spPr>
            <a:xfrm>
              <a:off x="14859000" y="2385060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𝑖^2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164264</xdr:colOff>
      <xdr:row>13</xdr:row>
      <xdr:rowOff>14274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C2F14A8-EB42-4F4A-833E-90CABEC761A8}"/>
                </a:ext>
              </a:extLst>
            </xdr:cNvPr>
            <xdr:cNvSpPr txBox="1"/>
          </xdr:nvSpPr>
          <xdr:spPr>
            <a:xfrm>
              <a:off x="13781204" y="239171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C2F14A8-EB42-4F4A-833E-90CABEC761A8}"/>
                </a:ext>
              </a:extLst>
            </xdr:cNvPr>
            <xdr:cNvSpPr txBox="1"/>
          </xdr:nvSpPr>
          <xdr:spPr>
            <a:xfrm>
              <a:off x="13781204" y="239171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194744</xdr:colOff>
      <xdr:row>14</xdr:row>
      <xdr:rowOff>21894</xdr:rowOff>
    </xdr:from>
    <xdr:ext cx="389681" cy="289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C2E97BF-39E1-4622-BA8C-7D6C41419D73}"/>
                </a:ext>
              </a:extLst>
            </xdr:cNvPr>
            <xdr:cNvSpPr txBox="1"/>
          </xdr:nvSpPr>
          <xdr:spPr>
            <a:xfrm>
              <a:off x="13811684" y="258221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C2E97BF-39E1-4622-BA8C-7D6C41419D73}"/>
                </a:ext>
              </a:extLst>
            </xdr:cNvPr>
            <xdr:cNvSpPr txBox="1"/>
          </xdr:nvSpPr>
          <xdr:spPr>
            <a:xfrm>
              <a:off x="13811684" y="2582214"/>
              <a:ext cx="389681" cy="289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𝑔^2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561180</xdr:colOff>
      <xdr:row>14</xdr:row>
      <xdr:rowOff>133230</xdr:rowOff>
    </xdr:from>
    <xdr:to>
      <xdr:col>7</xdr:col>
      <xdr:colOff>170295</xdr:colOff>
      <xdr:row>23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AA4E597-4F94-4D6E-AD67-17EF45DD6BAF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571215</xdr:colOff>
      <xdr:row>7</xdr:row>
      <xdr:rowOff>97080</xdr:rowOff>
    </xdr:from>
    <xdr:to>
      <xdr:col>9</xdr:col>
      <xdr:colOff>400845</xdr:colOff>
      <xdr:row>8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5C4065-1567-45FC-B697-69C8E9ED011A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290460</xdr:colOff>
      <xdr:row>7</xdr:row>
      <xdr:rowOff>48480</xdr:rowOff>
    </xdr:from>
    <xdr:to>
      <xdr:col>7</xdr:col>
      <xdr:colOff>301335</xdr:colOff>
      <xdr:row>8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C150442-C579-4417-989F-18DB96732D88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133095</xdr:colOff>
      <xdr:row>12</xdr:row>
      <xdr:rowOff>133245</xdr:rowOff>
    </xdr:from>
    <xdr:to>
      <xdr:col>13</xdr:col>
      <xdr:colOff>533775</xdr:colOff>
      <xdr:row>12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56A385D-DD7A-4A0D-B446-F7838C3E85F1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493095</xdr:colOff>
      <xdr:row>12</xdr:row>
      <xdr:rowOff>76005</xdr:rowOff>
    </xdr:from>
    <xdr:to>
      <xdr:col>14</xdr:col>
      <xdr:colOff>985</xdr:colOff>
      <xdr:row>12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7044F7E-5E0C-4405-8AF3-B9E620F81BA1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561180</xdr:colOff>
      <xdr:row>16</xdr:row>
      <xdr:rowOff>133230</xdr:rowOff>
    </xdr:from>
    <xdr:to>
      <xdr:col>4</xdr:col>
      <xdr:colOff>246495</xdr:colOff>
      <xdr:row>25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47A0664-F22F-4A21-9BAA-74FB82A16566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571215</xdr:colOff>
      <xdr:row>9</xdr:row>
      <xdr:rowOff>97080</xdr:rowOff>
    </xdr:from>
    <xdr:to>
      <xdr:col>7</xdr:col>
      <xdr:colOff>42705</xdr:colOff>
      <xdr:row>10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56B3B28-7196-4CD5-8BD4-B8AF82C0C9FB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290460</xdr:colOff>
      <xdr:row>9</xdr:row>
      <xdr:rowOff>48480</xdr:rowOff>
    </xdr:from>
    <xdr:to>
      <xdr:col>4</xdr:col>
      <xdr:colOff>377535</xdr:colOff>
      <xdr:row>10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4D8E94B-FF08-41C8-8604-90C8D79A175E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133095</xdr:colOff>
      <xdr:row>14</xdr:row>
      <xdr:rowOff>133245</xdr:rowOff>
    </xdr:from>
    <xdr:to>
      <xdr:col>11</xdr:col>
      <xdr:colOff>533775</xdr:colOff>
      <xdr:row>14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7EB8C45-6F35-402E-BAA4-9380909140BA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493095</xdr:colOff>
      <xdr:row>14</xdr:row>
      <xdr:rowOff>76005</xdr:rowOff>
    </xdr:from>
    <xdr:to>
      <xdr:col>11</xdr:col>
      <xdr:colOff>608655</xdr:colOff>
      <xdr:row>14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C2012D5-F36E-4D9F-B302-E5FD01355F40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561180</xdr:colOff>
      <xdr:row>15</xdr:row>
      <xdr:rowOff>133230</xdr:rowOff>
    </xdr:from>
    <xdr:to>
      <xdr:col>8</xdr:col>
      <xdr:colOff>246495</xdr:colOff>
      <xdr:row>24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227D9E-8AD0-4B2C-99E8-B047955D7AA3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571215</xdr:colOff>
      <xdr:row>8</xdr:row>
      <xdr:rowOff>97080</xdr:rowOff>
    </xdr:from>
    <xdr:to>
      <xdr:col>12</xdr:col>
      <xdr:colOff>141765</xdr:colOff>
      <xdr:row>9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AED139B-0376-4EB5-978A-0026ED2D6B81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290460</xdr:colOff>
      <xdr:row>8</xdr:row>
      <xdr:rowOff>48480</xdr:rowOff>
    </xdr:from>
    <xdr:to>
      <xdr:col>8</xdr:col>
      <xdr:colOff>377535</xdr:colOff>
      <xdr:row>9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64CB390-E567-49D0-B4C4-FE7B9208934F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133095</xdr:colOff>
      <xdr:row>13</xdr:row>
      <xdr:rowOff>133245</xdr:rowOff>
    </xdr:from>
    <xdr:to>
      <xdr:col>15</xdr:col>
      <xdr:colOff>533775</xdr:colOff>
      <xdr:row>13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35B9348-20A2-4C7D-92CF-618C75393483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493095</xdr:colOff>
      <xdr:row>13</xdr:row>
      <xdr:rowOff>76005</xdr:rowOff>
    </xdr:from>
    <xdr:to>
      <xdr:col>15</xdr:col>
      <xdr:colOff>608655</xdr:colOff>
      <xdr:row>13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FBC4CDF-1549-43A4-944E-A6539FBDAE9A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561180</xdr:colOff>
      <xdr:row>14</xdr:row>
      <xdr:rowOff>133230</xdr:rowOff>
    </xdr:from>
    <xdr:to>
      <xdr:col>8</xdr:col>
      <xdr:colOff>452235</xdr:colOff>
      <xdr:row>23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B2A283B-7D10-4FA5-BB7F-1F81AA55165B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571215</xdr:colOff>
      <xdr:row>7</xdr:row>
      <xdr:rowOff>97080</xdr:rowOff>
    </xdr:from>
    <xdr:to>
      <xdr:col>12</xdr:col>
      <xdr:colOff>522765</xdr:colOff>
      <xdr:row>8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D813846-3CFC-4E1B-861D-9B9C6F92F998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290460</xdr:colOff>
      <xdr:row>7</xdr:row>
      <xdr:rowOff>48480</xdr:rowOff>
    </xdr:from>
    <xdr:to>
      <xdr:col>8</xdr:col>
      <xdr:colOff>583275</xdr:colOff>
      <xdr:row>8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713BB69-BEB1-4D13-BFAA-B1F3EB800680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133095</xdr:colOff>
      <xdr:row>12</xdr:row>
      <xdr:rowOff>133245</xdr:rowOff>
    </xdr:from>
    <xdr:to>
      <xdr:col>15</xdr:col>
      <xdr:colOff>533775</xdr:colOff>
      <xdr:row>12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BF5E404-D10E-4C0C-9C4C-FD64338EC097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493095</xdr:colOff>
      <xdr:row>12</xdr:row>
      <xdr:rowOff>76005</xdr:rowOff>
    </xdr:from>
    <xdr:to>
      <xdr:col>15</xdr:col>
      <xdr:colOff>610585</xdr:colOff>
      <xdr:row>12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5ADD817-B75E-4577-86A9-F4E0358476A2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561180</xdr:colOff>
      <xdr:row>17</xdr:row>
      <xdr:rowOff>133230</xdr:rowOff>
    </xdr:from>
    <xdr:to>
      <xdr:col>7</xdr:col>
      <xdr:colOff>261735</xdr:colOff>
      <xdr:row>26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6B200D2-80D1-4EF5-8F7C-8E00A6718C31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571215</xdr:colOff>
      <xdr:row>10</xdr:row>
      <xdr:rowOff>97080</xdr:rowOff>
    </xdr:from>
    <xdr:to>
      <xdr:col>10</xdr:col>
      <xdr:colOff>553245</xdr:colOff>
      <xdr:row>11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F29A144-D9C2-4766-81BF-531C41231002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290460</xdr:colOff>
      <xdr:row>10</xdr:row>
      <xdr:rowOff>48480</xdr:rowOff>
    </xdr:from>
    <xdr:to>
      <xdr:col>8</xdr:col>
      <xdr:colOff>27015</xdr:colOff>
      <xdr:row>11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6A7BEC1-0504-4773-B85E-CCA90818CDF8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133095</xdr:colOff>
      <xdr:row>15</xdr:row>
      <xdr:rowOff>133245</xdr:rowOff>
    </xdr:from>
    <xdr:to>
      <xdr:col>14</xdr:col>
      <xdr:colOff>533775</xdr:colOff>
      <xdr:row>15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8E6842D-B43F-4727-B83C-2AE6E7ACE3DF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493095</xdr:colOff>
      <xdr:row>15</xdr:row>
      <xdr:rowOff>76005</xdr:rowOff>
    </xdr:from>
    <xdr:to>
      <xdr:col>15</xdr:col>
      <xdr:colOff>985</xdr:colOff>
      <xdr:row>15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3869621-E6A0-49CF-BEFD-D1F67021004E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257880</xdr:colOff>
      <xdr:row>9</xdr:row>
      <xdr:rowOff>53280</xdr:rowOff>
    </xdr:from>
    <xdr:to>
      <xdr:col>13</xdr:col>
      <xdr:colOff>472800</xdr:colOff>
      <xdr:row>12</xdr:row>
      <xdr:rowOff>158040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9195B70-612A-169F-D33E-BC08F723C811}"/>
                </a:ext>
              </a:extLst>
            </xdr14:cNvPr>
            <xdr14:cNvContentPartPr/>
          </xdr14:nvContentPartPr>
          <xdr14:nvPr macro=""/>
          <xdr14:xfrm>
            <a:off x="9478080" y="1699200"/>
            <a:ext cx="214920" cy="6534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9195B70-612A-169F-D33E-BC08F723C81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471960" y="1693080"/>
              <a:ext cx="227160" cy="66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83640</xdr:colOff>
      <xdr:row>4</xdr:row>
      <xdr:rowOff>96480</xdr:rowOff>
    </xdr:from>
    <xdr:to>
      <xdr:col>14</xdr:col>
      <xdr:colOff>184800</xdr:colOff>
      <xdr:row>7</xdr:row>
      <xdr:rowOff>177120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B66918B-9B26-64B1-930C-590495AB7C59}"/>
                </a:ext>
              </a:extLst>
            </xdr14:cNvPr>
            <xdr14:cNvContentPartPr/>
          </xdr14:nvContentPartPr>
          <xdr14:nvPr macro=""/>
          <xdr14:xfrm>
            <a:off x="9303840" y="828000"/>
            <a:ext cx="786960" cy="6292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B66918B-9B26-64B1-930C-590495AB7C5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297720" y="821876"/>
              <a:ext cx="799200" cy="641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123600</xdr:colOff>
      <xdr:row>12</xdr:row>
      <xdr:rowOff>0</xdr:rowOff>
    </xdr:from>
    <xdr:to>
      <xdr:col>8</xdr:col>
      <xdr:colOff>784920</xdr:colOff>
      <xdr:row>13</xdr:row>
      <xdr:rowOff>3600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1A87973-F9E4-A9C5-8612-0C0D1850C942}"/>
                </a:ext>
              </a:extLst>
            </xdr14:cNvPr>
            <xdr14:cNvContentPartPr/>
          </xdr14:nvContentPartPr>
          <xdr14:nvPr macro=""/>
          <xdr14:xfrm>
            <a:off x="4908960" y="2194560"/>
            <a:ext cx="1027080" cy="18648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1A87973-F9E4-A9C5-8612-0C0D1850C94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902840" y="2188440"/>
              <a:ext cx="103932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173280</xdr:colOff>
      <xdr:row>20</xdr:row>
      <xdr:rowOff>113400</xdr:rowOff>
    </xdr:from>
    <xdr:to>
      <xdr:col>8</xdr:col>
      <xdr:colOff>861240</xdr:colOff>
      <xdr:row>21</xdr:row>
      <xdr:rowOff>43200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C7B443E-92A1-E181-7CFE-FCE7B479A99C}"/>
                </a:ext>
              </a:extLst>
            </xdr14:cNvPr>
            <xdr14:cNvContentPartPr/>
          </xdr14:nvContentPartPr>
          <xdr14:nvPr macro=""/>
          <xdr14:xfrm>
            <a:off x="4958640" y="3771000"/>
            <a:ext cx="1053720" cy="11268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C7B443E-92A1-E181-7CFE-FCE7B479A99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952520" y="3764880"/>
              <a:ext cx="106596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175080</xdr:colOff>
      <xdr:row>25</xdr:row>
      <xdr:rowOff>59760</xdr:rowOff>
    </xdr:from>
    <xdr:to>
      <xdr:col>16</xdr:col>
      <xdr:colOff>114480</xdr:colOff>
      <xdr:row>28</xdr:row>
      <xdr:rowOff>130680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F34DDEB-BB35-E419-A349-025F29FC3659}"/>
                </a:ext>
              </a:extLst>
            </xdr14:cNvPr>
            <xdr14:cNvContentPartPr/>
          </xdr14:nvContentPartPr>
          <xdr14:nvPr macro=""/>
          <xdr14:xfrm>
            <a:off x="10081080" y="4631760"/>
            <a:ext cx="1280520" cy="6195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F34DDEB-BB35-E419-A349-025F29FC365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074960" y="4625640"/>
              <a:ext cx="1292760" cy="63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495000</xdr:colOff>
      <xdr:row>25</xdr:row>
      <xdr:rowOff>83880</xdr:rowOff>
    </xdr:from>
    <xdr:to>
      <xdr:col>19</xdr:col>
      <xdr:colOff>70560</xdr:colOff>
      <xdr:row>27</xdr:row>
      <xdr:rowOff>89640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730A255-CBFA-AB1C-0E22-F889D8DB76B1}"/>
                </a:ext>
              </a:extLst>
            </xdr14:cNvPr>
            <xdr14:cNvContentPartPr/>
          </xdr14:nvContentPartPr>
          <xdr14:nvPr macro=""/>
          <xdr14:xfrm>
            <a:off x="11742120" y="4655880"/>
            <a:ext cx="1678680" cy="3715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730A255-CBFA-AB1C-0E22-F889D8DB76B1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736001" y="4649760"/>
              <a:ext cx="1690917" cy="38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586080</xdr:colOff>
      <xdr:row>23</xdr:row>
      <xdr:rowOff>22680</xdr:rowOff>
    </xdr:from>
    <xdr:to>
      <xdr:col>16</xdr:col>
      <xdr:colOff>160560</xdr:colOff>
      <xdr:row>25</xdr:row>
      <xdr:rowOff>81000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4E3C2C5-B0C1-AD06-3CB4-1FD4436BF009}"/>
                </a:ext>
              </a:extLst>
            </xdr14:cNvPr>
            <xdr14:cNvContentPartPr/>
          </xdr14:nvContentPartPr>
          <xdr14:nvPr macro=""/>
          <xdr14:xfrm>
            <a:off x="11101680" y="4228920"/>
            <a:ext cx="306000" cy="4240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4E3C2C5-B0C1-AD06-3CB4-1FD4436BF00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1095560" y="4222800"/>
              <a:ext cx="318240" cy="43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7560</xdr:colOff>
      <xdr:row>24</xdr:row>
      <xdr:rowOff>22680</xdr:rowOff>
    </xdr:from>
    <xdr:to>
      <xdr:col>19</xdr:col>
      <xdr:colOff>352440</xdr:colOff>
      <xdr:row>27</xdr:row>
      <xdr:rowOff>121320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A7E0204-858A-5C4F-CD27-F5812C71907A}"/>
                </a:ext>
              </a:extLst>
            </xdr14:cNvPr>
            <xdr14:cNvContentPartPr/>
          </xdr14:nvContentPartPr>
          <xdr14:nvPr macro=""/>
          <xdr14:xfrm>
            <a:off x="13357800" y="4411800"/>
            <a:ext cx="344880" cy="64728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A7E0204-858A-5C4F-CD27-F5812C71907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3351680" y="4405680"/>
              <a:ext cx="357120" cy="65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5880</xdr:colOff>
      <xdr:row>26</xdr:row>
      <xdr:rowOff>75960</xdr:rowOff>
    </xdr:from>
    <xdr:to>
      <xdr:col>14</xdr:col>
      <xdr:colOff>384960</xdr:colOff>
      <xdr:row>30</xdr:row>
      <xdr:rowOff>68400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4408D74-57CC-0CF6-8B82-FD9838FAF95F}"/>
                </a:ext>
              </a:extLst>
            </xdr14:cNvPr>
            <xdr14:cNvContentPartPr/>
          </xdr14:nvContentPartPr>
          <xdr14:nvPr macro=""/>
          <xdr14:xfrm>
            <a:off x="9911880" y="4830840"/>
            <a:ext cx="379080" cy="72396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4408D74-57CC-0CF6-8B82-FD9838FAF95F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905760" y="4824720"/>
              <a:ext cx="391320" cy="73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561180</xdr:colOff>
      <xdr:row>21</xdr:row>
      <xdr:rowOff>133230</xdr:rowOff>
    </xdr:from>
    <xdr:to>
      <xdr:col>8</xdr:col>
      <xdr:colOff>48375</xdr:colOff>
      <xdr:row>30</xdr:row>
      <xdr:rowOff>63045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489C6C5-3F61-42F5-A42F-4269FEA4B9BE}"/>
                </a:ext>
              </a:extLst>
            </xdr14:cNvPr>
            <xdr14:cNvContentPartPr/>
          </xdr14:nvContentPartPr>
          <xdr14:nvPr macro=""/>
          <xdr14:xfrm>
            <a:off x="1589880" y="2666880"/>
            <a:ext cx="822600" cy="15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0BCF63-15B0-38AC-58B5-2BF3FA00B7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3760" y="2660760"/>
              <a:ext cx="834840" cy="157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571215</xdr:colOff>
      <xdr:row>14</xdr:row>
      <xdr:rowOff>97080</xdr:rowOff>
    </xdr:from>
    <xdr:to>
      <xdr:col>11</xdr:col>
      <xdr:colOff>202725</xdr:colOff>
      <xdr:row>15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8A8FECB-F6C6-4DEF-91AC-2739038252F4}"/>
                </a:ext>
              </a:extLst>
            </xdr14:cNvPr>
            <xdr14:cNvContentPartPr/>
          </xdr14:nvContentPartPr>
          <xdr14:nvPr macro=""/>
          <xdr14:xfrm>
            <a:off x="2600040" y="1363905"/>
            <a:ext cx="1784160" cy="16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55C7EF-80D1-ACDB-56D0-D145D48636B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93920" y="1357785"/>
              <a:ext cx="1796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290460</xdr:colOff>
      <xdr:row>14</xdr:row>
      <xdr:rowOff>48480</xdr:rowOff>
    </xdr:from>
    <xdr:to>
      <xdr:col>8</xdr:col>
      <xdr:colOff>179415</xdr:colOff>
      <xdr:row>15</xdr:row>
      <xdr:rowOff>104895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38E68EB-FC1C-4C02-8713-6E623CE7F732}"/>
                </a:ext>
              </a:extLst>
            </xdr14:cNvPr>
            <xdr14:cNvContentPartPr/>
          </xdr14:nvContentPartPr>
          <xdr14:nvPr macro=""/>
          <xdr14:xfrm>
            <a:off x="1319160" y="1315305"/>
            <a:ext cx="1224360" cy="241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177502C-C098-F122-6EC2-DCEAF55741E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13040" y="1309185"/>
              <a:ext cx="1236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133095</xdr:colOff>
      <xdr:row>19</xdr:row>
      <xdr:rowOff>133245</xdr:rowOff>
    </xdr:from>
    <xdr:to>
      <xdr:col>14</xdr:col>
      <xdr:colOff>533775</xdr:colOff>
      <xdr:row>19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E738E56-30FB-4F36-AB90-28A17DE349D0}"/>
                </a:ext>
              </a:extLst>
            </xdr14:cNvPr>
            <xdr14:cNvContentPartPr/>
          </xdr14:nvContentPartPr>
          <xdr14:nvPr macro=""/>
          <xdr14:xfrm>
            <a:off x="5819520" y="2304945"/>
            <a:ext cx="40068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C912CB-E757-4AF6-D1A5-7895C2C9354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13400" y="2292705"/>
              <a:ext cx="41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493095</xdr:colOff>
      <xdr:row>19</xdr:row>
      <xdr:rowOff>76005</xdr:rowOff>
    </xdr:from>
    <xdr:to>
      <xdr:col>15</xdr:col>
      <xdr:colOff>985</xdr:colOff>
      <xdr:row>19</xdr:row>
      <xdr:rowOff>171045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BE984AD-63D3-4DDE-B699-5018BAAFE98B}"/>
                </a:ext>
              </a:extLst>
            </xdr14:cNvPr>
            <xdr14:cNvContentPartPr/>
          </xdr14:nvContentPartPr>
          <xdr14:nvPr macro=""/>
          <xdr14:xfrm>
            <a:off x="6179520" y="2247705"/>
            <a:ext cx="115560" cy="9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833AEE3-C8D4-5E0D-A3D1-8BC15436D86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173400" y="2241585"/>
              <a:ext cx="127800" cy="1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257880</xdr:colOff>
      <xdr:row>13</xdr:row>
      <xdr:rowOff>53280</xdr:rowOff>
    </xdr:from>
    <xdr:to>
      <xdr:col>13</xdr:col>
      <xdr:colOff>472800</xdr:colOff>
      <xdr:row>16</xdr:row>
      <xdr:rowOff>158040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BA8E43E-AF6A-4091-AB28-D91497273737}"/>
                </a:ext>
              </a:extLst>
            </xdr14:cNvPr>
            <xdr14:cNvContentPartPr/>
          </xdr14:nvContentPartPr>
          <xdr14:nvPr macro=""/>
          <xdr14:xfrm>
            <a:off x="9478080" y="1699200"/>
            <a:ext cx="214920" cy="6534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A8E43E-AF6A-4091-AB28-D9149727373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471960" y="1693080"/>
              <a:ext cx="227160" cy="66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83640</xdr:colOff>
      <xdr:row>8</xdr:row>
      <xdr:rowOff>96480</xdr:rowOff>
    </xdr:from>
    <xdr:to>
      <xdr:col>14</xdr:col>
      <xdr:colOff>184800</xdr:colOff>
      <xdr:row>11</xdr:row>
      <xdr:rowOff>177120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1A2C00B-36B1-48BA-BE66-2EE9462E6B15}"/>
                </a:ext>
              </a:extLst>
            </xdr14:cNvPr>
            <xdr14:cNvContentPartPr/>
          </xdr14:nvContentPartPr>
          <xdr14:nvPr macro=""/>
          <xdr14:xfrm>
            <a:off x="9303840" y="828000"/>
            <a:ext cx="786960" cy="6292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1A2C00B-36B1-48BA-BE66-2EE9462E6B1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297720" y="821876"/>
              <a:ext cx="799200" cy="641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123600</xdr:colOff>
      <xdr:row>16</xdr:row>
      <xdr:rowOff>0</xdr:rowOff>
    </xdr:from>
    <xdr:to>
      <xdr:col>8</xdr:col>
      <xdr:colOff>541080</xdr:colOff>
      <xdr:row>17</xdr:row>
      <xdr:rowOff>3600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6F21128-149B-4444-ACC9-76C31F9B72E6}"/>
                </a:ext>
              </a:extLst>
            </xdr14:cNvPr>
            <xdr14:cNvContentPartPr/>
          </xdr14:nvContentPartPr>
          <xdr14:nvPr macro=""/>
          <xdr14:xfrm>
            <a:off x="4908960" y="2194560"/>
            <a:ext cx="1027080" cy="1864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6F21128-149B-4444-ACC9-76C31F9B72E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902840" y="2188440"/>
              <a:ext cx="103932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173280</xdr:colOff>
      <xdr:row>24</xdr:row>
      <xdr:rowOff>113400</xdr:rowOff>
    </xdr:from>
    <xdr:to>
      <xdr:col>8</xdr:col>
      <xdr:colOff>617400</xdr:colOff>
      <xdr:row>25</xdr:row>
      <xdr:rowOff>43200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02320BE-7DBC-4EA6-9B20-EC1879A485F5}"/>
                </a:ext>
              </a:extLst>
            </xdr14:cNvPr>
            <xdr14:cNvContentPartPr/>
          </xdr14:nvContentPartPr>
          <xdr14:nvPr macro=""/>
          <xdr14:xfrm>
            <a:off x="4958640" y="3771000"/>
            <a:ext cx="1053720" cy="1126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02320BE-7DBC-4EA6-9B20-EC1879A485F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952520" y="3764880"/>
              <a:ext cx="106596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175080</xdr:colOff>
      <xdr:row>29</xdr:row>
      <xdr:rowOff>59760</xdr:rowOff>
    </xdr:from>
    <xdr:to>
      <xdr:col>16</xdr:col>
      <xdr:colOff>160200</xdr:colOff>
      <xdr:row>32</xdr:row>
      <xdr:rowOff>130680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7721778-92DE-483E-884C-3D6D16553317}"/>
                </a:ext>
              </a:extLst>
            </xdr14:cNvPr>
            <xdr14:cNvContentPartPr/>
          </xdr14:nvContentPartPr>
          <xdr14:nvPr macro=""/>
          <xdr14:xfrm>
            <a:off x="10081080" y="4631760"/>
            <a:ext cx="1280520" cy="6195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7721778-92DE-483E-884C-3D6D16553317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074960" y="4625640"/>
              <a:ext cx="1292760" cy="63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495000</xdr:colOff>
      <xdr:row>29</xdr:row>
      <xdr:rowOff>83880</xdr:rowOff>
    </xdr:from>
    <xdr:to>
      <xdr:col>19</xdr:col>
      <xdr:colOff>344880</xdr:colOff>
      <xdr:row>31</xdr:row>
      <xdr:rowOff>89640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677941E-E89B-47E4-92DD-8D3EB1D828CC}"/>
                </a:ext>
              </a:extLst>
            </xdr14:cNvPr>
            <xdr14:cNvContentPartPr/>
          </xdr14:nvContentPartPr>
          <xdr14:nvPr macro=""/>
          <xdr14:xfrm>
            <a:off x="11742120" y="4655880"/>
            <a:ext cx="1678680" cy="3715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677941E-E89B-47E4-92DD-8D3EB1D828C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736001" y="4649760"/>
              <a:ext cx="1690917" cy="38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586080</xdr:colOff>
      <xdr:row>27</xdr:row>
      <xdr:rowOff>22680</xdr:rowOff>
    </xdr:from>
    <xdr:to>
      <xdr:col>16</xdr:col>
      <xdr:colOff>206280</xdr:colOff>
      <xdr:row>29</xdr:row>
      <xdr:rowOff>81000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547BB8C-0E7B-4F75-A08D-83AE49FBA092}"/>
                </a:ext>
              </a:extLst>
            </xdr14:cNvPr>
            <xdr14:cNvContentPartPr/>
          </xdr14:nvContentPartPr>
          <xdr14:nvPr macro=""/>
          <xdr14:xfrm>
            <a:off x="11101680" y="4228920"/>
            <a:ext cx="306000" cy="42408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547BB8C-0E7B-4F75-A08D-83AE49FBA09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1095560" y="4222800"/>
              <a:ext cx="318240" cy="43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7560</xdr:colOff>
      <xdr:row>28</xdr:row>
      <xdr:rowOff>22680</xdr:rowOff>
    </xdr:from>
    <xdr:to>
      <xdr:col>19</xdr:col>
      <xdr:colOff>352440</xdr:colOff>
      <xdr:row>31</xdr:row>
      <xdr:rowOff>121320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8D76989-E98D-4E92-8DA4-217F241CEE41}"/>
                </a:ext>
              </a:extLst>
            </xdr14:cNvPr>
            <xdr14:cNvContentPartPr/>
          </xdr14:nvContentPartPr>
          <xdr14:nvPr macro=""/>
          <xdr14:xfrm>
            <a:off x="13357800" y="4411800"/>
            <a:ext cx="344880" cy="64728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8D76989-E98D-4E92-8DA4-217F241CEE4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3351680" y="4405680"/>
              <a:ext cx="357120" cy="65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5880</xdr:colOff>
      <xdr:row>30</xdr:row>
      <xdr:rowOff>75960</xdr:rowOff>
    </xdr:from>
    <xdr:to>
      <xdr:col>14</xdr:col>
      <xdr:colOff>384960</xdr:colOff>
      <xdr:row>34</xdr:row>
      <xdr:rowOff>68400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81C7759-397C-4D6D-9499-DF6EE367B66A}"/>
                </a:ext>
              </a:extLst>
            </xdr14:cNvPr>
            <xdr14:cNvContentPartPr/>
          </xdr14:nvContentPartPr>
          <xdr14:nvPr macro=""/>
          <xdr14:xfrm>
            <a:off x="9911880" y="4830840"/>
            <a:ext cx="379080" cy="7239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81C7759-397C-4D6D-9499-DF6EE367B66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905760" y="4824720"/>
              <a:ext cx="391320" cy="73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45.6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851 5062 24575,'-38'-38'0,"-193"-202"0,185 187 0,2-3 0,-61-101 0,81 112 0,2-1 0,-28-87 0,-16-105 0,43 148 0,-81-305 0,79 312 0,3-3 0,4 0 0,-9-119 0,21-534 0,10 382 0,-1 291 0,3 1 0,3 0 0,2 0 0,3 2 0,3-1 0,3 1 0,2 3 0,3-1 0,2 1 0,36-55 0,-10 34 0,3 4 0,3 2 0,99-98 0,-109 128 0,2 1 0,66-42 0,-30 22 0,297-207 0,-190 150 0,-17 12 0,-175 108 0,-1 0 0,1 1 0,-1-1 0,1 0 0,-1 0 0,0 0 0,1-1 0,-1 1 0,0 0 0,0 0 0,0-1 0,0 1 0,0 0 0,0-1 0,0 1 0,-1-1 0,1 1 0,-1-1 0,1 0 0,-1 1 0,1-1 0,-1 0 0,1-2 0,-2 2 0,0 0 0,1 0 0,-1 1 0,0-1 0,0 0 0,0 1 0,0-1 0,-1 1 0,1-1 0,0 1 0,0 0 0,-1-1 0,1 1 0,-1 0 0,1 0 0,-1 0 0,-3-1 0,-8-5 0,0 1 0,0 1 0,-1 0 0,-24-4 0,-33-3 0,-139-4 0,-78 18 0,170 1 0,67 0 0,691 65 0,-622-66 0,6 0 0,0 2 0,25 6 0,-44-9 0,0 1 0,0-1 0,0 1 0,0 1 0,0-1 0,0 1 0,0-1 0,-1 1 0,1 1 0,-1-1 0,0 0 0,0 1 0,0 0 0,5 9 0,-8-11 0,0 0 0,0 0 0,0 1 0,0-1 0,-1 0 0,1 1 0,-1-1 0,1 0 0,-1 1 0,0-1 0,0 1 0,0-1 0,0 0 0,0 1 0,-1-1 0,1 1 0,-1-1 0,0 0 0,0 1 0,1-1 0,-1 0 0,-3 4 0,-35 46 0,32-43 0,-71 80 0,13-18 0,3 4 0,3 3 0,-55 96 0,39-41 0,-46 90 0,111-199-455,0 0 0,-7 34 0,8-24-6371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48.8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461 4412 24575,'-5'-1'0,"1"-1"0,1 0 0,-1-1 0,0 1 0,0 0 0,1-1 0,-1 0 0,1 0 0,0 0 0,0 0 0,-4-6 0,-4-3 0,-53-47 0,-82-84 0,126 119 0,0 0 0,2-2 0,0 0 0,-22-46 0,25 37 0,2 0 0,1-1 0,2-1 0,1 0 0,2 0 0,-4-64 0,14-234 0,3 171 0,-4-587 0,-2 434 0,0 296 0,2-1 0,1 2 0,0-1 0,2 1 0,0 0 0,1-1 0,14-29 0,9-10 0,39-58 0,-23 42 0,23-44 0,130-222 0,-132 239 0,97-115 0,-105 153 0,3 2 0,3 2 0,2 4 0,3 2 0,2 5 0,148-82 0,-219 132 0,397-186 0,-395 185 0,0 1 0,0-1 0,0 0 0,0 1 0,0-1 0,0 0 0,0 0 0,0-1 0,0 1 0,-1 0 0,1-1 0,2-1 0,-4 2 0,-1 1 0,1 0 0,0-1 0,0 1 0,-1-1 0,1 1 0,0-1 0,-1 1 0,1 0 0,0-1 0,-1 1 0,1 0 0,-1-1 0,1 1 0,0 0 0,-1 0 0,1-1 0,-1 1 0,1 0 0,-1 0 0,1 0 0,-1 0 0,1 0 0,-1 0 0,1-1 0,-1 1 0,1 0 0,-1 0 0,1 1 0,-2-1 0,-68-2 0,58 2 0,-168 3 0,-131-3 0,303 0 0,1-1 0,-1-1 0,1 1 0,0-1 0,-9-3 0,16 5 0,0 0 0,-1 0 0,1 0 0,0 0 0,-1 0 0,1-1 0,0 1 0,0 0 0,-1 0 0,1 0 0,0 0 0,-1 0 0,1-1 0,0 1 0,0 0 0,0 0 0,-1-1 0,1 1 0,0 0 0,0 0 0,0-1 0,-1 1 0,1 0 0,0 0 0,0-1 0,0 1 0,0 0 0,0-1 0,0 1 0,0 0 0,0-1 0,-1 1 0,1 0 0,0 0 0,0-1 0,0 1 0,1 0 0,-1-1 0,0 1 0,0 0 0,0-1 0,0 0 0,29-11 0,330-48 0,-180 36 0,222-33 0,-343 51 0,-58 6 0,1-1 0,-1 1 0,1 0 0,-1 0 0,1 0 0,0 0 0,-1 0 0,1 0 0,-1 0 0,1 0 0,-1 0 0,1 0 0,-1 0 0,1 0 0,-1 0 0,1 1 0,-1-1 0,1 0 0,-1 0 0,1 0 0,-1 1 0,1-1 0,-1 0 0,1 1 0,-1-1 0,1 0 0,-1 1 0,0-1 0,1 1 0,-1-1 0,0 1 0,1-1 0,-1 1 0,0-1 0,0 1 0,1-1 0,-1 1 0,0-1 0,0 1 0,0-1 0,0 1 0,0-1 0,0 1 0,0-1 0,0 1 0,0-1 0,0 1 0,0 0 0,0-1 0,0 1 0,0-1 0,0 1 0,-1-1 0,1 1 0,0-1 0,0 1 0,-1-1 0,1 1 0,0-1 0,-1 0 0,1 1 0,0-1 0,-2 1 0,-28 35 0,24-30 0,-129 155 0,98-111 0,-2-2 0,-89 83 0,48-67-105,-73 65 334,130-107-526,0 2-1,1 0 0,2 1 0,-18 30 0,22-29-6528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57.3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375 4026 24575,'-6'0'0,"1"-1"0,0 0 0,0 0 0,0 0 0,0-1 0,0 1 0,0-1 0,1 0 0,-1-1 0,0 1 0,1-1 0,0 0 0,-1 0 0,1 0 0,1-1 0,-1 1 0,0-1 0,1 0 0,0-1 0,0 1 0,-4-7 0,-6-12 0,1 0 0,2 0 0,-11-31 0,8 18 0,-9-21 0,-105-293 0,111 295 0,3-1 0,2-1 0,3 0 0,-2-89 0,15-383 0,-5 507 0,2 2 0,0-1 0,2 0 0,0 1 0,12-34 0,45-90 0,-3 10 0,25-113 0,-25 70 0,80-169 0,-82 219 0,-28 61 0,3 0 0,44-67 0,-32 70 0,2 1 0,3 4 0,91-89 0,-105 117 0,1 0 0,2 3 0,1 1 0,0 2 0,2 1 0,1 3 0,59-21 0,-81 34 0,-10 5 0,-1 0 0,1-1 0,-1 0 0,0-2 0,0 2 0,0-2 0,-1 1 0,1-1 0,6-6 0,-13 11 0,-1-1 0,1 1 0,-1-1 0,1 1 0,-1-1 0,0 0 0,1 1 0,-1-1 0,0 0 0,1 1 0,-1-1 0,0 0 0,0 1 0,1-1 0,-1 0 0,0 1 0,0-1 0,0 0 0,0 0 0,0 1 0,0-1 0,0 0 0,0 1 0,0-1 0,-1 0 0,1 0 0,0 1 0,0-1 0,-1 0 0,1 1 0,-1-2 0,-22-14 0,-33 1 0,-325-42 0,275 38 0,-106-26 0,222 41 0,16 1 0,194-9 0,343-64 0,-403 49 0,-158 26 0,-1 1 0,1 0 0,0-1 0,-1 1 0,1 0 0,0 0 0,-1 0 0,1 1 0,0-1 0,-1 0 0,1 1 0,0-1 0,-1 1 0,1-1 0,0 1 0,-1 0 0,1 0 0,-1-1 0,1 1 0,-1 0 0,0 0 0,1 1 0,1 1 0,-2-1 0,1 1 0,-1 0 0,0 0 0,0-1 0,0 1 0,0 0 0,0 0 0,0 0 0,-1 0 0,0 0 0,1 1 0,-2 4 0,0 11 0,-2 0 0,0 0 0,-9 30 0,8-33 0,-22 68 0,-4-2 0,-3-1 0,-62 108 0,-128 169 0,150-247 0,51-71-201,2 0-1,1 3 0,3-1 1,1 2-1,-9 46 0,22-84 47,-7 26-6671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50:00.5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347 4252 24575,'0'-19'0,"0"-1"0,-2-1 0,0 2 0,-1 0 0,-1-1 0,-11-31 0,-21-59 0,5-2 0,-28-186 0,-3-31 0,5 33 0,46 192 0,1-140 0,-5-54 0,11 265 0,-29-314 0,30 281 0,4-2 0,2 1 0,14-80 0,51-155 0,-52 249 0,3 2 0,1-1 0,47-80 0,17 0 0,6 3 0,188-206 0,-220 277 0,74-56 0,5-4 0,-135 116 0,0 1 0,0-1 0,0 1 0,-1-1 0,1 0 0,0 0 0,-1 0 0,0 0 0,1 0 0,-1 0 0,0 0 0,0 0 0,0 0 0,0-1 0,0 1 0,-1 0 0,1-6 0,-1 7 0,0 0 0,0 1 0,-1-1 0,1 0 0,0 1 0,-1-1 0,1 1 0,0-1 0,-1 0 0,1 1 0,-1-1 0,1 1 0,-1-1 0,1 1 0,-1 0 0,1-1 0,-1 1 0,0-1 0,1 1 0,-1 0 0,1 0 0,-2-1 0,-28-3 0,-66 11 0,1 3 0,-107 28 0,129-23 0,58-12 0,16-1 0,30-3 0,759-95 0,-718 87 0,-82 13 0,0-1 0,1 2 0,-1-1 0,1 1 0,0 1 0,0-1 0,1 2 0,-16 14 0,-18 11 0,8-10 0,-117 86 0,131-92 0,1 2 0,1 0 0,1 1 0,0 0 0,-17 29 0,-94 183 0,72-123 0,-67 156 0,113-244-1365,4-3-5461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11.5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988 4351 24575,'-49'-48'0,"27"25"0,-2 0 0,0 2 0,-50-34 0,47 39 0,0-3 0,2 0 0,0-1 0,-25-25 0,-12-12 0,47 46 0,1-1 0,1-1 0,0 0 0,1-1 0,1 0 0,0 0 0,0-2 0,2 1 0,-14-28 0,-11-54 0,16 44 0,-45-96 0,31 84 0,4-1 0,-21-72 0,12 31 0,23 61 0,3-1 0,1-1 0,2 0 0,-1-74 0,4 54 0,-18-91 0,1 67 0,5 23 0,2-2 0,4 1 0,-4-103 0,2-88 0,1-102 0,12 297 0,2 40 0,0 1 0,2-2 0,1 1 0,1 1 0,1 0 0,1 0 0,1 1 0,1 0 0,23-38 0,-16 35 0,0 1 0,1 1 0,2 1 0,0 0 0,2 1 0,0 1 0,46-34 0,347-215 0,-281 192 0,-87 52 0,-2 0 0,57-44 0,-87 60 0,1 0 0,28-14 0,-28 17 0,-1-1 0,1 0 0,18-16 0,-14 8 0,2 0 0,0 2 0,1 1 0,0 1 0,38-16 0,128-35 0,-79 28 0,-106 35 0,30-15 0,-29 5 0,-19-2 0,-13 1 0,0 2 0,0 0 0,0 2 0,-39-7 0,2 1 0,8-1 0,-106-24 0,148 36 0,24 2 0,32 6 0,-26-3 0,809 111 0,-775-110 0,-31-2 0,0 0 0,1 2 0,-1 0 0,24 7 0,-42-10 0,0 0 0,-1 0 0,1 0 0,0 1 0,-1-1 0,1 0 0,0 0 0,-1 1 0,1-1 0,0 0 0,-1 1 0,1-1 0,-1 0 0,1 1 0,0-1 0,-1 1 0,1-1 0,-1 1 0,0 0 0,1-1 0,-1 1 0,1-1 0,-1 1 0,0 0 0,1-1 0,-1 1 0,0 0 0,0-1 0,0 1 0,1 1 0,-16 13 0,-29 4 0,10-7 0,1 0 0,1 2 0,-46 26 0,68-34 0,1 0 0,-1 1 0,1 0 0,1 0 0,0 1 0,0 0 0,1 0 0,0 1 0,0 0 0,1 0 0,0 1 0,1 0 0,0 0 0,1 0 0,-4 12 0,-14 78 36,18-72-386,-2-1 0,0 1-1,-20 48 1,11-47-6476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18.6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1255 4326 24575,'-26'7'0,"2"-1"0,-2-1 0,0-2 0,1 0 0,-45-2 0,13-3 0,-82-16 0,104 11 0,0 0 0,0-3 0,1-1 0,0-1 0,-35-20 0,46 20 0,1-2 0,0-1 0,0 0 0,2-2 0,0 0 0,1-2 0,-27-34 0,-131-191 0,116 153 0,46 67 0,0-2 0,2 0 0,1-1 0,2 0 0,1 0 0,1 0 0,1-2 0,1 0 0,-3-40 0,-32-127 0,21 106 0,11 41 0,2 1 0,0-80 0,14-97 0,-7 220 0,3-27 0,1 1 0,1 1 0,2-1 0,12-38 0,54-108 0,-22 57 0,-5-19 0,5-12 0,-27 92 0,162-364 0,-163 376 0,106-200 0,-102 204 0,1 0 0,3 2 0,51-55 0,68-78 0,-98 110 0,107-103 0,-149 159 0,0 0 0,0 1 0,0 1 0,1 0 0,0 1 0,22-8 0,75-15 0,-84 23 0,293-38 0,-219 35 0,161-37 0,-176 20 0,-2-4 0,81-40 0,-150 64 0,-2 2 0,2 0 0,18-3 0,-22 5 0,0 0 0,-1-1 0,1 1 0,-1-2 0,0 1 0,1-1 0,-1 0 0,0 0 0,10-8 0,-15 11 0,-1-1 0,0 0 0,0 0 0,-1 0 0,1 0 0,0 0 0,0 0 0,0 0 0,-1 0 0,1 0 0,0-1 0,-1 1 0,1 0 0,-1 0 0,0-1 0,1 1 0,-1 0 0,0-1 0,0 1 0,0 0 0,0-1 0,0 1 0,0 0 0,0-1 0,0 1 0,-1-2 0,0-1 0,-1 1 0,0 0 0,1 0 0,-1 0 0,-1 0 0,1 0 0,0 0 0,-1 0 0,-4-4 0,-5-3 0,0 1 0,0 0 0,-25-13 0,15 13 0,1 1 0,-2 0 0,0 2 0,0 0 0,1 2 0,-1 0 0,-32 0 0,-162 10 0,232-5 0,-1-1 0,0 2 0,0 0 0,19 5 0,8 2 0,343 48 0,-233-37 0,-143-19 0,8 1 0,-1 0 0,1 1 0,0 1 0,-1 0 0,15 7 0,-28-10 0,0 0 0,0 0 0,0 0 0,1 0 0,-1 1 0,0-1 0,0 1 0,0-1 0,-1 1 0,1 0 0,0 0 0,-1 0 0,1-1 0,-1 2 0,1-1 0,-1 0 0,0 0 0,0 0 0,0 1 0,0-1 0,0 0 0,-1 1 0,1-1 0,-1 0 0,0 1 0,1-1 0,-1 1 0,0-1 0,0 1 0,-1-1 0,1 1 0,-1-1 0,1 1 0,-1-1 0,0 0 0,1 1 0,-1-1 0,-1 0 0,0 3 0,-5 9 0,-1-1 0,0 0 0,0 0 0,-1-1 0,-1-1 0,0 1 0,-19 15 0,-91 63 0,85-67 0,1 1 0,-39 39 0,48-34-165,1 1-1,1 2 0,3 1 1,0 0-1,-18 42 1,33-62-207,-9 16-6454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26.7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447 4097 24575,'-1'-7'0,"-1"1"0,1 0 0,-1-1 0,0 1 0,-1 0 0,0 0 0,1 0 0,-2 1 0,1-1 0,-8-9 0,2 2 0,-23-35 0,3 0 0,1-2 0,3-1 0,1-1 0,-27-95 0,42 113 0,-1 2 0,-2-1 0,-2 2 0,0 0 0,-27-43 0,32 57 0,0 0 0,1 0 0,1-1 0,1 0 0,-8-37 0,-5-100 0,5 34 0,-2 9 0,6-2 0,7-222 0,10 237 0,22-113 0,-21 169 0,2 1 0,3 0 0,1-1 0,2 3 0,24-44 0,343-562 0,-266 481 0,13-23 0,-104 143 0,3 1 0,49-57 0,-65 87 0,0 1 0,1 0 0,1 1 0,0 1 0,0 0 0,0 1 0,1-1 0,1 2 0,0 2 0,23-9 0,3 3 0,3 0 0,-2-1 0,0-2 0,-2-3 0,73-41 0,-72 29 0,64-64 0,-2 4 0,-101 88 0,0 0 0,0 0 0,-1-1 0,1 1 0,-1-1 0,1-1 0,-1 1 0,0 0 0,2-5 0,-5 8 0,1 0 0,-1 0 0,0 0 0,0 0 0,1 0 0,-1 1 0,0-1 0,0 0 0,0 0 0,0 0 0,0 0 0,0 0 0,-1 0 0,1 0 0,0 0 0,0 0 0,-1 1 0,1-1 0,0 0 0,-1 0 0,0-1 0,0 0 0,-1 1 0,0-1 0,1 1 0,-1-1 0,0 1 0,0 0 0,0 0 0,0 0 0,0 0 0,0 0 0,0 0 0,-4-1 0,-47-10 0,1 2 0,-2 2 0,-106 0 0,110 6 0,-241-1 0,1156 4 0,-826-2 0,41 1 0,-74 0 0,-1 1 0,1-1 0,0 1 0,-2 1 0,2-1 0,-1 1 0,1 0 0,-1 0 0,0 1 0,8 4 0,-13-7 0,1 1 0,-1-1 0,1 1 0,0-1 0,-1 1 0,1-1 0,-1 1 0,1 0 0,-1-1 0,0 1 0,1 0 0,-1-1 0,0 1 0,1 0 0,-1-1 0,0 1 0,0 0 0,1 0 0,-1-1 0,0 1 0,0 0 0,0 0 0,0-1 0,0 1 0,0 0 0,0 0 0,0-1 0,-1 2 0,-14 20 0,-32 12 0,44-32 0,-14 10 0,-53 30 0,-115 93 0,164-117 0,2 2 0,0 0 0,1 1 0,0 1 0,2 0 0,1 1 0,1 1 0,1 0 0,-14 36 0,15-29-115,-38 111-1135,42-112-5576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49:30.2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1068 4218 24575,'-3'-5'0,"1"1"0,-1 0 0,0 0 0,-1 1 0,1-1 0,-1 1 0,-7-6 0,-11-11 0,-409-387 0,143 140 0,270 250 0,-4-4 0,0-1 0,-23-30 0,39 44 0,1 0 0,0 0 0,0-1 0,1 1 0,0-1 0,0 0 0,1 0 0,1-1 0,-1 1 0,2-1 0,-2-11 0,-43-441 0,33 353 0,-23-120 0,17 126 0,-8-166 0,28-263 0,0 495 0,2 1 0,2 0 0,1 0 0,1 0 0,2 1 0,2 0 0,1 1 0,1 0 0,4 1 0,33-58 0,42-68 0,84-132 0,-139 236 0,3 1 0,2 3 0,51-48 0,-40 45 0,-22 22 0,36-28 0,-55 51 0,0 0 0,0 0 0,1 1 0,1 1 0,-1 1 0,29-10 0,76-15 0,73-24 0,-189 55 0,0-1 0,1 0 0,-1 1 0,0-1 0,0 0 0,0 0 0,-1-1 0,1 1 0,0 0 0,0 0 0,0-1 0,-1 1 0,2-3 0,-3 4 0,1-1 0,-1 1 0,0-1 0,0 1 0,0-1 0,0 1 0,0-1 0,0 1 0,0-1 0,0 1 0,0-1 0,0 1 0,-1-1 0,1 1 0,0-1 0,0 1 0,0 0 0,-1-1 0,1 1 0,0-1 0,0 1 0,-1 0 0,1-1 0,0 1 0,-1 0 0,1-1 0,0 1 0,-1 0 0,1-1 0,-1 1 0,1 0 0,0 0 0,-1-1 0,0 1 0,-6-3 0,0 0 0,0 1 0,0 0 0,0 0 0,0 1 0,-11-2 0,-219-31 0,118 15 0,119 19 0,0 0 0,0 0 0,0 0 0,0 0 0,0 0 0,0 0 0,0-1 0,0 1 0,0 0 0,0 0 0,0 0 0,0 0 0,0 0 0,0 0 0,0 0 0,0 0 0,0-1 0,0 1 0,0 0 0,0 0 0,0 0 0,0 0 0,-1 0 0,1 0 0,25-2 0,41 1 0,311 29 0,-29-1 0,-340-27 0,43 4 0,-50-4 0,-1 0 0,1 0 0,0 0 0,-1 0 0,1 1 0,-1-1 0,1 0 0,0 0 0,-1 0 0,1 0 0,-1 1 0,1-1 0,-1 0 0,1 1 0,-1-1 0,1 0 0,-1 1 0,1-1 0,-1 0 0,1 1 0,-1-1 0,0 1 0,1-1 0,-1 1 0,0-1 0,1 1 0,-1-1 0,0 1 0,0-1 0,1 1 0,-1 0 0,0-1 0,0 1 0,0-1 0,0 1 0,0 0 0,0-1 0,0 1 0,0-1 0,0 1 0,0 0 0,0-1 0,0 1 0,0-1 0,-1 1 0,1 0 0,0-1 0,0 1 0,-1-1 0,1 1 0,0-1 0,-1 1 0,1-1 0,0 1 0,-1-1 0,1 0 0,-1 1 0,1-1 0,-1 1 0,1-1 0,-1 0 0,1 1 0,-1-1 0,1 0 0,-2 1 0,-39 32 0,-51 32 0,48-35 0,-50 43 0,76-56 0,0 1 0,2 0 0,0 1 0,1 1 0,1 0 0,0 1 0,2 0 0,1 1 0,0 1 0,2 0 0,-11 40 0,-13 22 119,2-2-1603,25-55-5342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51:13.3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1 461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0,26-20 0,-24 19 0,18-16 0,-2 1 0,0-2 0,-1 0 0,-1-1 0,-1-2 0,0 0 0,18-37 0,-22 33 0,-6 13 0,0 1 0,1-1 0,0 2 0,14-23 0,-18 31 0,1 1 0,-1-2 0,1 2 0,0-1 0,0 1 0,0 0 0,0 0 0,0 0 0,1 0 0,-1 1 0,0-1 0,1 1 0,-1 0 0,1 0 0,0 0 0,-1 1 0,1-1 0,0 1 0,-1 0 0,1 0 0,0 0 0,3 1 0,2 0 0,0 1 0,-1 0 0,1 0 0,-1 1 0,1 0 0,-1 1 0,0 0 0,0 1 0,-1-1 0,1 1 0,-1 0 0,0 1 0,7 8 0,6 7 0,-1 2 0,28 43 0,-33-43 0,2 0 0,0-1 0,23 20 0,-32-36 0,1 1 0,0-2 0,0 0 0,0 0 0,1-1 0,0 0 0,0-1 0,0 1 0,0-1 0,0-1 0,0 0 0,17 1 0,11-2 0,74-5 0,-37-1 0,73 6 0,83-3 0,-212-2 0,1 1 0,-1-1 0,0-1 0,0-1 0,0 0 0,-1-2 0,24-13 0,-12 3 0,-1-1 0,-1 0 0,32-31 0,-44 33 0,0-1 0,-1-1 0,-1 0 0,0-1 0,-3-1 0,1 1 0,14-44 0,-5 20 0,-20 42 0,1 0 0,0 0 0,0 0 0,-1 0 0,1 0 0,1 0 0,-1 0 0,0 0 0,0 1 0,0-1 0,1 1 0,-1-1 0,1 1 0,2-2 0,-4 3 0,1 0 0,-1 1 0,1-1 0,-1 0 0,1 0 0,-1 0 0,0 1 0,1-1 0,-1 0 0,1 1 0,-1-1 0,1 0 0,-1 1 0,0-1 0,1 1 0,-1-1 0,0 0 0,0 1 0,1-1 0,-1 1 0,0-1 0,0 1 0,1-1 0,-1 1 0,0-1 0,0 1 0,0-1 0,0 1 0,0-1 0,0 1 0,0 0 0,4 66 0,-4-64 0,1 16 0,1 1 0,1 0 0,1-1 0,1 0 0,0 1 0,2-2 0,0 1 0,0-1 0,13 20 0,-12-22 0,-4-8 0,0-2 0,0 0 0,0 0 0,1-1 0,0 2 0,1-2 0,-1 0 0,1 0 0,0 0 0,0 0 0,0-1 0,1-1 0,-1 1 0,1-1 0,0 0 0,0-1 0,0 1 0,0-1 0,9 1 0,17 3 0,1-2 0,67-1 0,-65-3 0,615-2 0,-210-2 0,-375 5 0,160-6 0,-189 0 0,0 0 0,-1-1 0,1-3 0,36-14 0,-41 12 0,8-6 0,1 3 0,1 1 0,0 2 0,0 1 0,53-2 0,-54 8 0,-2-2 0,1-2 0,42-13 0,-40 8 0,1 3 0,71-8 0,-77 16 0,97-2 0,-123 5 0,1 0 0,-1 0 0,1 1 0,-1 0 0,0 1 0,0 2 0,0-1 0,0 0 0,10 6 0,-15-6 0,-1 0 0,0 1 0,0-1 0,0 1 0,0 0 0,-1 0 0,0 0 0,0 1 0,0 0 0,0-1 0,-1 1 0,0 0 0,0 1 0,2 8 0,0 6 0,0 1 0,-1-2 0,1 25 0,-2-19 0,0-19-1365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51:16.6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3432 414 24575,'-3'-5'0,"-1"1"0,0-1 0,0 1 0,0 0 0,-1 1 0,1 0 0,-1-1 0,0 1 0,-8-4 0,-2-2 0,-21-11 0,-2 3 0,-1 0 0,0 3 0,-80-19 0,16 3 0,2 3 0,-1 3 0,0 5 0,-176-11 0,-320 23 0,348 10 0,99-5 0,-167 4 0,275 4 0,0 1 0,1 2 0,1 0 0,-70 30 0,53-20 0,-91 22 0,75-30 0,-80 0 0,-51 7 0,199-17 0,-2 0 0,2 1 0,-1 0 0,1 0 0,0 1 0,-1 0 0,1 0 0,-10 7 0,13-8 0,1 0 0,0-1 0,-1 1 0,1 0 0,0 1 0,0-1 0,0 1 0,1-1 0,-1 1 0,0-1 0,1 1 0,0 0 0,0 0 0,0 0 0,0 0 0,0 0 0,0 0 0,1 0 0,0 0 0,-1 0 0,1 4 0,0-6 0,0 0 0,0 1 0,0-2 0,0 1 0,0 1 0,1-1 0,-1 0 0,0 1 0,1-1 0,-1 0 0,1 0 0,-1 1 0,1-1 0,-1 0 0,1 0 0,0 0 0,0 0 0,-1 0 0,1 0 0,0 0 0,0 0 0,0 0 0,0 0 0,0 0 0,1-1 0,1 2 0,-1-2 0,0 1 0,1-1 0,-1 0 0,0 0 0,1 0 0,-1 0 0,0 0 0,1 0 0,-1-1 0,0 1 0,1-1 0,-1 1 0,4-3 0,4-1 0,-1-1 0,0 0 0,2-1 0,-3 1 0,13-11 0,-10 6 0,-1-1 0,0 1 0,0-1 0,-1 0 0,-1-1 0,0-1 0,1 0 0,-2 1 0,-1-1 0,0-1 0,-1 1 0,-1-1 0,0 0 0,0 0 0,-2-1 0,0 1 0,0 0 0,-2-20 0,1 19 0,-2-40 0,1 53 0,0 0 0,0 0 0,-1 0 0,1 1 0,0-1 0,-1 0 0,1 0 0,-1 0 0,1 0 0,-1 1 0,0-1 0,0 0 0,0 0 0,0 1 0,0-1 0,-1 0 0,1 1 0,0-1 0,-1 1 0,-1-2 0,1 3 0,0 0 0,0 0 0,0 0 0,0 0 0,1 0 0,-1 1 0,0-1 0,0 1 0,1-1 0,-1 1 0,0 0 0,1 0 0,-1 0 0,-1 0 0,2 0 0,0 0 0,-1 0 0,1 0 0,-1 0 0,1 1 0,0-1 0,0 0 0,0 1 0,0-1 0,-1 3 0,-25 40 0,-1 28 0,18-45 0,-25 50 0,-6-1 0,3 1 0,-29 87 0,66-162 0,0 0 0,0 1 0,1-2 0,-1 2 0,1-1 0,-1 1 0,1-1 0,0 1 0,-1-1 0,1 1 0,1-1 0,-1 1 0,0-1 0,1 1 0,-1-1 0,1 1 0,-1-1 0,3 4 0,-1-3 0,1-1 0,-1 0 0,0 0 0,1 1 0,0-2 0,0 1 0,-1 0 0,1-1 0,0 0 0,0 0 0,0 0 0,1 0 0,-1 0 0,0 0 0,6 0 0,68 10 0,1-3 0,0-4 0,88-5 0,-69-1 0,618-4-1365,-691 6-5461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51:24.3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5:51:26.6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3:49:25.1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997 4386 24575,'-48'-49'0,"25"26"0,-1 0 0,0 2 0,-51-35 0,48 40 0,0-2 0,1-1 0,1-2 0,-26-24 0,-11-13 0,47 47 0,1-1 0,0-1 0,1 0 0,1-1 0,1 0 0,0-1 0,-1-1 0,3 1 0,-14-28 0,-11-54 0,16 43 0,-46-97 0,32 86 0,3-2 0,-20-71 0,12 29 0,23 63 0,3-2 0,0 0 0,3-1 0,-1-73 0,4 53 0,-18-91 0,1 68 0,5 22 0,2-2 0,4 2 0,-5-104 0,3-90 0,1-102 0,12 299 0,2 41 0,0 1 0,2-1 0,1-1 0,1 2 0,1 0 0,2 0 0,0 0 0,1 1 0,23-39 0,-16 36 0,0 1 0,1 1 0,2 0 0,1 1 0,1 1 0,0 1 0,47-34 0,350-218 0,-284 194 0,-87 54 0,-2-1 0,56-45 0,-87 61 0,2 0 0,27-15 0,-27 18 0,-2-1 0,0 0 0,20-16 0,-15 8 0,2 0 0,1 1 0,0 2 0,0 1 0,38-16 0,130-36 0,-79 30 0,-108 34 0,30-15 0,-29 4 0,-20-1 0,-11 1 0,-1 2 0,-1 0 0,1 2 0,-40-7 0,3 1 0,7-2 0,-107-23 0,150 36 0,24 2 0,33 6 0,-27-3 0,817 112 0,-782-111 0,-32-2 0,0 0 0,1 2 0,-1 0 0,25 7 0,-43-10 0,0 0 0,-1 0 0,1 0 0,0 2 0,-1-2 0,1 0 0,0 0 0,-1 1 0,1-1 0,0 0 0,-1 1 0,1-1 0,-1 0 0,1 1 0,0-1 0,-1 1 0,1-1 0,-1 1 0,0 0 0,1-1 0,-1 1 0,1-1 0,-1 1 0,0 0 0,1-1 0,-1 1 0,0 0 0,0-1 0,0 1 0,1 1 0,-16 13 0,-30 4 0,12-8 0,-1 1 0,2 2 0,-48 27 0,70-35 0,1 0 0,0 1 0,0 0 0,1 0 0,-1 1 0,1 0 0,1 0 0,0 2 0,0-1 0,1 0 0,0 1 0,1 0 0,0 0 0,1 0 0,-5 12 0,-13 79 36,18-72-386,-2-2 0,0 0-1,-21 50 1,12-48-6476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3:49:25.1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1 445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0,26-19 0,-24 18 0,18-15 0,-2 0 0,0-1 0,-1-1 0,-1 0 0,-1-2 0,0 0 0,18-36 0,-22 31 0,-6 14 0,0 0 0,1 0 0,0 1 0,15-22 0,-19 30 0,1 1 0,-1-1 0,1 1 0,0-1 0,0 1 0,0 0 0,0 0 0,0 0 0,1 0 0,-1 1 0,0-1 0,1 1 0,-1 0 0,1 0 0,0 0 0,-1 1 0,1-1 0,0 1 0,-1 0 0,1 0 0,0 0 0,3 1 0,2 0 0,0 1 0,-1 0 0,1 0 0,-1 1 0,1 0 0,-1 1 0,0 0 0,0 0 0,-1 0 0,1 1 0,-1 0 0,0 1 0,7 7 0,6 8 0,-1 1 0,28 42 0,-33-42 0,2 0 0,0-1 0,23 20 0,-32-35 0,1 0 0,0-1 0,0 0 0,0 0 0,1-1 0,0 0 0,0-1 0,0 0 0,0 0 0,0-1 0,0 0 0,18 1 0,10-2 0,74-5 0,-37-1 0,73 6 0,84-3 0,-213-1 0,1 0 0,-1-1 0,0-1 0,0-1 0,0 0 0,-1-1 0,24-14 0,-12 4 0,-1-1 0,-1-1 0,32-29 0,-44 31 0,0 0 0,-1-1 0,-1-1 0,0 0 0,-2-1 0,0 0 0,14-41 0,-5 18 0,-20 41 0,1 0 0,0 0 0,0 0 0,-1 0 0,1 0 0,1 1 0,-1-1 0,0 0 0,0 1 0,0-1 0,1 1 0,-1-1 0,1 1 0,2-2 0,-4 3 0,1 0 0,-1 1 0,1-1 0,-1 0 0,1 0 0,-1 0 0,0 1 0,1-1 0,-1 0 0,1 1 0,-1-1 0,1 0 0,-1 1 0,0-1 0,1 1 0,-1-1 0,0 0 0,0 1 0,1-1 0,-1 1 0,0-1 0,0 1 0,1-1 0,-1 1 0,0-1 0,0 1 0,0-1 0,0 1 0,0-1 0,0 1 0,0 0 0,4 63 0,-4-61 0,1 16 0,1 0 0,1 0 0,1 0 0,1-1 0,0 1 0,2-1 0,0 0 0,0-1 0,13 20 0,-12-21 0,-4-9 0,0-1 0,0 0 0,0 0 0,1-1 0,0 1 0,1-1 0,-1 0 0,1 0 0,0 0 0,0-1 0,0 0 0,1-1 0,-1 1 0,1-1 0,0 0 0,0-1 0,0 1 0,0-1 0,9 1 0,17 2 0,1-1 0,67-1 0,-65-3 0,617-2 0,-211-2 0,-376 5 0,160-6 0,-189 1 0,0-1 0,0-1 0,0-3 0,36-13 0,-41 11 0,8-5 0,1 2 0,1 2 0,0 1 0,0 2 0,53-3 0,-54 8 0,-1-2 0,0-1 0,42-14 0,-40 9 0,1 2 0,71-7 0,-77 15 0,98-2 0,-124 5 0,1 0 0,-1 0 0,1 1 0,-1 0 0,0 1 0,0 1 0,0 0 0,0 0 0,10 6 0,-15-6 0,-1 0 0,0 0 0,0 0 0,0 1 0,0 0 0,-1 0 0,0 0 0,0 0 0,0 1 0,0-1 0,-1 1 0,0 0 0,0 0 0,2 9 0,0 5 0,0 1 0,-1-1 0,1 23 0,-2-18 0,0-18-1365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3:49:25.1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3436 419 24575,'-3'-5'0,"-1"1"0,0-1 0,0 1 0,0 0 0,-1 0 0,1 1 0,-1-1 0,0 1 0,-9-4 0,0-2 0,-22-11 0,-2 3 0,-1 0 0,0 3 0,-81-20 0,17 4 0,2 2 0,-1 4 0,0 5 0,-176-12 0,-321 24 0,348 10 0,101-5 0,-169 4 0,276 4 0,1 1 0,-1 2 0,2 1 0,-70 29 0,53-19 0,-92 21 0,77-30 0,-82 1 0,-50 6 0,199-17 0,-1 0 0,1 1 0,-1 0 0,0 0 0,1 1 0,-1 0 0,1 0 0,-10 7 0,13-8 0,1 0 0,0-1 0,-1 1 0,1 0 0,0 1 0,0-1 0,0 1 0,1-1 0,-1 1 0,0-1 0,1 1 0,0 0 0,0 0 0,0 0 0,0 0 0,0 0 0,0 0 0,1 0 0,0 0 0,-1 0 0,1 4 0,0-6 0,0 0 0,0 1 0,0-1 0,0 0 0,0 1 0,1-1 0,-1 0 0,0 1 0,1-1 0,-1 0 0,1 0 0,-1 1 0,1-1 0,-1 0 0,1 0 0,0 0 0,0 0 0,-1 0 0,1 0 0,0 0 0,0 0 0,0 0 0,0 0 0,0 0 0,1-1 0,1 2 0,-1-2 0,0 1 0,1-1 0,-1 0 0,0 0 0,1 0 0,-1 0 0,0 0 0,1 0 0,-1-1 0,0 1 0,1-1 0,-1 1 0,4-3 0,4-1 0,0-1 0,-1 0 0,1-1 0,-2 0 0,13-10 0,-10 6 0,-1-1 0,0 1 0,0-1 0,0 0 0,-2-1 0,0-1 0,0 0 0,-1 0 0,-1 0 0,0-1 0,-1 1 0,-1-1 0,0-1 0,0 1 0,-2-1 0,0 1 0,0-1 0,-2-18 0,1 18 0,-2-41 0,1 54 0,0 0 0,0 0 0,-1 0 0,1 0 0,0 0 0,-1 0 0,1 0 0,-1 0 0,1 0 0,-1 1 0,0-1 0,0 0 0,0 0 0,0 1 0,0-1 0,-1 0 0,1 1 0,0-1 0,-1 1 0,-1-2 0,1 3 0,0 0 0,0 0 0,0 0 0,0 0 0,1 0 0,-1 1 0,0-1 0,0 1 0,1-1 0,-1 1 0,0 0 0,1 0 0,-1 0 0,0 0 0,1 0 0,0 0 0,-1 0 0,1 0 0,-1 0 0,1 1 0,0-1 0,0 0 0,0 1 0,0-1 0,-1 3 0,-26 41 0,0 27 0,18-44 0,-24 50 0,-8-1 0,4 1 0,-29 87 0,66-163 0,0 0 0,0 1 0,1-1 0,-1 1 0,1-1 0,-1 1 0,1-1 0,0 1 0,-1-1 0,1 1 0,1-1 0,-1 1 0,0-1 0,1 1 0,-1-1 0,1 1 0,-1-1 0,3 4 0,-1-3 0,1-1 0,-1 0 0,0 0 0,1 1 0,0-2 0,0 1 0,-1 0 0,1-1 0,0 1 0,0-1 0,0 0 0,1 0 0,-1 0 0,1 0 0,4 0 0,69 10 0,1-3 0,0-4 0,89-5 0,-70-1 0,618-4-1365,-690 6-5461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3:49:25.1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3:49:25.1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2:47:50.2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997 4386 24575,'-48'-49'0,"25"26"0,-1 0 0,0 2 0,-51-35 0,48 40 0,0-2 0,1-1 0,1-2 0,-26-24 0,-11-13 0,47 47 0,1-1 0,0-1 0,1 0 0,1-1 0,1 0 0,0-1 0,-1-1 0,3 1 0,-14-28 0,-11-54 0,16 43 0,-46-97 0,32 86 0,3-2 0,-20-71 0,12 29 0,23 63 0,3-2 0,0 0 0,3-1 0,-1-73 0,4 53 0,-18-91 0,1 68 0,5 22 0,2-2 0,4 2 0,-5-104 0,3-90 0,1-102 0,12 299 0,2 41 0,0 1 0,2-1 0,1-1 0,1 2 0,1 0 0,2 0 0,0 0 0,1 1 0,23-39 0,-16 36 0,0 1 0,1 1 0,2 0 0,1 1 0,1 1 0,0 1 0,47-34 0,350-218 0,-284 194 0,-87 54 0,-2-1 0,56-45 0,-87 61 0,2 0 0,27-15 0,-27 18 0,-2-1 0,0 0 0,20-16 0,-15 8 0,2 0 0,1 1 0,0 2 0,0 1 0,38-16 0,130-36 0,-79 30 0,-108 34 0,30-15 0,-29 4 0,-20-1 0,-11 1 0,-1 2 0,-1 0 0,1 2 0,-40-7 0,3 1 0,7-2 0,-107-23 0,150 36 0,24 2 0,33 6 0,-27-3 0,817 112 0,-782-111 0,-32-2 0,0 0 0,1 2 0,-1 0 0,25 7 0,-43-10 0,0 0 0,-1 0 0,1 0 0,0 2 0,-1-2 0,1 0 0,0 0 0,-1 1 0,1-1 0,0 0 0,-1 1 0,1-1 0,-1 0 0,1 1 0,0-1 0,-1 1 0,1-1 0,-1 1 0,0 0 0,1-1 0,-1 1 0,1-1 0,-1 1 0,0 0 0,1-1 0,-1 1 0,0 0 0,0-1 0,0 1 0,1 1 0,-16 13 0,-30 4 0,12-8 0,-1 1 0,2 2 0,-48 27 0,70-35 0,1 0 0,0 1 0,0 0 0,1 0 0,-1 1 0,1 0 0,1 0 0,0 2 0,0-1 0,1 0 0,0 1 0,1 0 0,0 0 0,1 0 0,-5 12 0,-13 79 36,18-72-386,-2-2 0,0 0-1,-21 50 1,12-48-6476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2:47:50.2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1 445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0,26-19 0,-24 18 0,18-15 0,-2 0 0,0-1 0,-1-1 0,-1 0 0,-1-2 0,0 0 0,18-36 0,-22 31 0,-6 14 0,0 0 0,1 0 0,0 1 0,15-22 0,-19 30 0,1 1 0,-1-1 0,1 1 0,0-1 0,0 1 0,0 0 0,0 0 0,0 0 0,1 0 0,-1 1 0,0-1 0,1 1 0,-1 0 0,1 0 0,0 0 0,-1 1 0,1-1 0,0 1 0,-1 0 0,1 0 0,0 0 0,3 1 0,2 0 0,0 1 0,-1 0 0,1 0 0,-1 1 0,1 0 0,-1 1 0,0 0 0,0 0 0,-1 0 0,1 1 0,-1 0 0,0 1 0,7 7 0,6 8 0,-1 1 0,28 42 0,-33-42 0,2 0 0,0-1 0,23 20 0,-32-35 0,1 0 0,0-1 0,0 0 0,0 0 0,1-1 0,0 0 0,0-1 0,0 0 0,0 0 0,0-1 0,0 0 0,18 1 0,10-2 0,74-5 0,-37-1 0,73 6 0,84-3 0,-213-1 0,1 0 0,-1-1 0,0-1 0,0-1 0,0 0 0,-1-1 0,24-14 0,-12 4 0,-1-1 0,-1-1 0,32-29 0,-44 31 0,0 0 0,-1-1 0,-1-1 0,0 0 0,-2-1 0,0 0 0,14-41 0,-5 18 0,-20 41 0,1 0 0,0 0 0,0 0 0,-1 0 0,1 0 0,1 1 0,-1-1 0,0 0 0,0 1 0,0-1 0,1 1 0,-1-1 0,1 1 0,2-2 0,-4 3 0,1 0 0,-1 1 0,1-1 0,-1 0 0,1 0 0,-1 0 0,0 1 0,1-1 0,-1 0 0,1 1 0,-1-1 0,1 0 0,-1 1 0,0-1 0,1 1 0,-1-1 0,0 0 0,0 1 0,1-1 0,-1 1 0,0-1 0,0 1 0,1-1 0,-1 1 0,0-1 0,0 1 0,0-1 0,0 1 0,0-1 0,0 1 0,0 0 0,4 63 0,-4-61 0,1 16 0,1 0 0,1 0 0,1 0 0,1-1 0,0 1 0,2-1 0,0 0 0,0-1 0,13 20 0,-12-21 0,-4-9 0,0-1 0,0 0 0,0 0 0,1-1 0,0 1 0,1-1 0,-1 0 0,1 0 0,0 0 0,0-1 0,0 0 0,1-1 0,-1 1 0,1-1 0,0 0 0,0-1 0,0 1 0,0-1 0,9 1 0,17 2 0,1-1 0,67-1 0,-65-3 0,617-2 0,-211-2 0,-376 5 0,160-6 0,-189 1 0,0-1 0,0-1 0,0-3 0,36-13 0,-41 11 0,8-5 0,1 2 0,1 2 0,0 1 0,0 2 0,53-3 0,-54 8 0,-1-2 0,0-1 0,42-14 0,-40 9 0,1 2 0,71-7 0,-77 15 0,98-2 0,-124 5 0,1 0 0,-1 0 0,1 1 0,-1 0 0,0 1 0,0 1 0,0 0 0,0 0 0,10 6 0,-15-6 0,-1 0 0,0 0 0,0 0 0,0 1 0,0 0 0,-1 0 0,0 0 0,0 0 0,0 1 0,0-1 0,-1 1 0,0 0 0,0 0 0,2 9 0,0 5 0,0 1 0,-1-1 0,1 23 0,-2-18 0,0-18-1365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2:47:50.2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3436 419 24575,'-3'-5'0,"-1"1"0,0-1 0,0 1 0,0 0 0,-1 0 0,1 1 0,-1-1 0,0 1 0,-9-4 0,0-2 0,-22-11 0,-2 3 0,-1 0 0,0 3 0,-81-20 0,17 4 0,2 2 0,-1 4 0,0 5 0,-176-12 0,-321 24 0,348 10 0,101-5 0,-169 4 0,276 4 0,1 1 0,-1 2 0,2 1 0,-70 29 0,53-19 0,-92 21 0,77-30 0,-82 1 0,-50 6 0,199-17 0,-1 0 0,1 1 0,-1 0 0,0 0 0,1 1 0,-1 0 0,1 0 0,-10 7 0,13-8 0,1 0 0,0-1 0,-1 1 0,1 0 0,0 1 0,0-1 0,0 1 0,1-1 0,-1 1 0,0-1 0,1 1 0,0 0 0,0 0 0,0 0 0,0 0 0,0 0 0,0 0 0,1 0 0,0 0 0,-1 0 0,1 4 0,0-6 0,0 0 0,0 1 0,0-1 0,0 0 0,0 1 0,1-1 0,-1 0 0,0 1 0,1-1 0,-1 0 0,1 0 0,-1 1 0,1-1 0,-1 0 0,1 0 0,0 0 0,0 0 0,-1 0 0,1 0 0,0 0 0,0 0 0,0 0 0,0 0 0,0 0 0,1-1 0,1 2 0,-1-2 0,0 1 0,1-1 0,-1 0 0,0 0 0,1 0 0,-1 0 0,0 0 0,1 0 0,-1-1 0,0 1 0,1-1 0,-1 1 0,4-3 0,4-1 0,0-1 0,-1 0 0,1-1 0,-2 0 0,13-10 0,-10 6 0,-1-1 0,0 1 0,0-1 0,0 0 0,-2-1 0,0-1 0,0 0 0,-1 0 0,-1 0 0,0-1 0,-1 1 0,-1-1 0,0-1 0,0 1 0,-2-1 0,0 1 0,0-1 0,-2-18 0,1 18 0,-2-41 0,1 54 0,0 0 0,0 0 0,-1 0 0,1 0 0,0 0 0,-1 0 0,1 0 0,-1 0 0,1 0 0,-1 1 0,0-1 0,0 0 0,0 0 0,0 1 0,0-1 0,-1 0 0,1 1 0,0-1 0,-1 1 0,-1-2 0,1 3 0,0 0 0,0 0 0,0 0 0,0 0 0,1 0 0,-1 1 0,0-1 0,0 1 0,1-1 0,-1 1 0,0 0 0,1 0 0,-1 0 0,0 0 0,1 0 0,0 0 0,-1 0 0,1 0 0,-1 0 0,1 1 0,0-1 0,0 0 0,0 1 0,0-1 0,-1 3 0,-26 41 0,0 27 0,18-44 0,-24 50 0,-8-1 0,4 1 0,-29 87 0,66-163 0,0 0 0,0 1 0,1-1 0,-1 1 0,1-1 0,-1 1 0,1-1 0,0 1 0,-1-1 0,1 1 0,1-1 0,-1 1 0,0-1 0,1 1 0,-1-1 0,1 1 0,-1-1 0,3 4 0,-1-3 0,1-1 0,-1 0 0,0 0 0,1 1 0,0-2 0,0 1 0,-1 0 0,1-1 0,0 1 0,0-1 0,0 0 0,1 0 0,-1 0 0,1 0 0,4 0 0,69 10 0,1-3 0,0-4 0,89-5 0,-70-1 0,618-4-1365,-690 6-5461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2:47:50.2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2:47:50.2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1:30:51.6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997 4386 24575,'-48'-49'0,"25"26"0,-1 0 0,0 2 0,-51-35 0,48 40 0,0-2 0,1-1 0,1-2 0,-26-24 0,-11-13 0,47 47 0,1-1 0,0-1 0,1 0 0,1-1 0,1 0 0,0-1 0,-1-1 0,3 1 0,-14-28 0,-11-54 0,16 43 0,-46-97 0,32 86 0,3-2 0,-20-71 0,12 29 0,23 63 0,3-2 0,0 0 0,3-1 0,-1-73 0,4 53 0,-18-91 0,1 68 0,5 22 0,2-2 0,4 2 0,-5-104 0,3-90 0,1-102 0,12 299 0,2 41 0,0 1 0,2-1 0,1-1 0,1 2 0,1 0 0,2 0 0,0 0 0,1 1 0,23-39 0,-16 36 0,0 1 0,1 1 0,2 0 0,1 1 0,1 1 0,0 1 0,47-34 0,350-218 0,-284 194 0,-87 54 0,-2-1 0,56-45 0,-87 61 0,2 0 0,27-15 0,-27 18 0,-2-1 0,0 0 0,20-16 0,-15 8 0,2 0 0,1 1 0,0 2 0,0 1 0,38-16 0,130-36 0,-79 30 0,-108 34 0,30-15 0,-29 4 0,-20-1 0,-11 1 0,-1 2 0,-1 0 0,1 2 0,-40-7 0,3 1 0,7-2 0,-107-23 0,150 36 0,24 2 0,33 6 0,-27-3 0,817 112 0,-782-111 0,-32-2 0,0 0 0,1 2 0,-1 0 0,25 7 0,-43-10 0,0 0 0,-1 0 0,1 0 0,0 2 0,-1-2 0,1 0 0,0 0 0,-1 1 0,1-1 0,0 0 0,-1 1 0,1-1 0,-1 0 0,1 1 0,0-1 0,-1 1 0,1-1 0,-1 1 0,0 0 0,1-1 0,-1 1 0,1-1 0,-1 1 0,0 0 0,1-1 0,-1 1 0,0 0 0,0-1 0,0 1 0,1 1 0,-16 13 0,-30 4 0,12-8 0,-1 1 0,2 2 0,-48 27 0,70-35 0,1 0 0,0 1 0,0 0 0,1 0 0,-1 1 0,1 0 0,1 0 0,0 2 0,0-1 0,1 0 0,0 1 0,1 0 0,0 0 0,1 0 0,-5 12 0,-13 79 36,18-72-386,-2-2 0,0 0-1,-21 50 1,12-48-6476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1:30:51.6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1 445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0,26-19 0,-24 18 0,18-15 0,-2 0 0,0-1 0,-1-1 0,-1 0 0,-1-2 0,0 0 0,18-36 0,-22 31 0,-6 14 0,0 0 0,1 0 0,0 1 0,15-22 0,-19 30 0,1 1 0,-1-1 0,1 1 0,0-1 0,0 1 0,0 0 0,0 0 0,0 0 0,1 0 0,-1 1 0,0-1 0,1 1 0,-1 0 0,1 0 0,0 0 0,-1 1 0,1-1 0,0 1 0,-1 0 0,1 0 0,0 0 0,3 1 0,2 0 0,0 1 0,-1 0 0,1 0 0,-1 1 0,1 0 0,-1 1 0,0 0 0,0 0 0,-1 0 0,1 1 0,-1 0 0,0 1 0,7 7 0,6 8 0,-1 1 0,28 42 0,-33-42 0,2 0 0,0-1 0,23 20 0,-32-35 0,1 0 0,0-1 0,0 0 0,0 0 0,1-1 0,0 0 0,0-1 0,0 0 0,0 0 0,0-1 0,0 0 0,18 1 0,10-2 0,74-5 0,-37-1 0,73 6 0,84-3 0,-213-1 0,1 0 0,-1-1 0,0-1 0,0-1 0,0 0 0,-1-1 0,24-14 0,-12 4 0,-1-1 0,-1-1 0,32-29 0,-44 31 0,0 0 0,-1-1 0,-1-1 0,0 0 0,-2-1 0,0 0 0,14-41 0,-5 18 0,-20 41 0,1 0 0,0 0 0,0 0 0,-1 0 0,1 0 0,1 1 0,-1-1 0,0 0 0,0 1 0,0-1 0,1 1 0,-1-1 0,1 1 0,2-2 0,-4 3 0,1 0 0,-1 1 0,1-1 0,-1 0 0,1 0 0,-1 0 0,0 1 0,1-1 0,-1 0 0,1 1 0,-1-1 0,1 0 0,-1 1 0,0-1 0,1 1 0,-1-1 0,0 0 0,0 1 0,1-1 0,-1 1 0,0-1 0,0 1 0,1-1 0,-1 1 0,0-1 0,0 1 0,0-1 0,0 1 0,0-1 0,0 1 0,0 0 0,4 63 0,-4-61 0,1 16 0,1 0 0,1 0 0,1 0 0,1-1 0,0 1 0,2-1 0,0 0 0,0-1 0,13 20 0,-12-21 0,-4-9 0,0-1 0,0 0 0,0 0 0,1-1 0,0 1 0,1-1 0,-1 0 0,1 0 0,0 0 0,0-1 0,0 0 0,1-1 0,-1 1 0,1-1 0,0 0 0,0-1 0,0 1 0,0-1 0,9 1 0,17 2 0,1-1 0,67-1 0,-65-3 0,617-2 0,-211-2 0,-376 5 0,160-6 0,-189 1 0,0-1 0,0-1 0,0-3 0,36-13 0,-41 11 0,8-5 0,1 2 0,1 2 0,0 1 0,0 2 0,53-3 0,-54 8 0,-1-2 0,0-1 0,42-14 0,-40 9 0,1 2 0,71-7 0,-77 15 0,98-2 0,-124 5 0,1 0 0,-1 0 0,1 1 0,-1 0 0,0 1 0,0 1 0,0 0 0,0 0 0,10 6 0,-15-6 0,-1 0 0,0 0 0,0 0 0,0 1 0,0 0 0,-1 0 0,0 0 0,0 0 0,0 1 0,0-1 0,-1 1 0,0 0 0,0 0 0,2 9 0,0 5 0,0 1 0,-1-1 0,1 23 0,-2-18 0,0-18-1365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1:30:51.6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3436 419 24575,'-3'-5'0,"-1"1"0,0-1 0,0 1 0,0 0 0,-1 0 0,1 1 0,-1-1 0,0 1 0,-9-4 0,0-2 0,-22-11 0,-2 3 0,-1 0 0,0 3 0,-81-20 0,17 4 0,2 2 0,-1 4 0,0 5 0,-176-12 0,-321 24 0,348 10 0,101-5 0,-169 4 0,276 4 0,1 1 0,-1 2 0,2 1 0,-70 29 0,53-19 0,-92 21 0,77-30 0,-82 1 0,-50 6 0,199-17 0,-1 0 0,1 1 0,-1 0 0,0 0 0,1 1 0,-1 0 0,1 0 0,-10 7 0,13-8 0,1 0 0,0-1 0,-1 1 0,1 0 0,0 1 0,0-1 0,0 1 0,1-1 0,-1 1 0,0-1 0,1 1 0,0 0 0,0 0 0,0 0 0,0 0 0,0 0 0,0 0 0,1 0 0,0 0 0,-1 0 0,1 4 0,0-6 0,0 0 0,0 1 0,0-1 0,0 0 0,0 1 0,1-1 0,-1 0 0,0 1 0,1-1 0,-1 0 0,1 0 0,-1 1 0,1-1 0,-1 0 0,1 0 0,0 0 0,0 0 0,-1 0 0,1 0 0,0 0 0,0 0 0,0 0 0,0 0 0,0 0 0,1-1 0,1 2 0,-1-2 0,0 1 0,1-1 0,-1 0 0,0 0 0,1 0 0,-1 0 0,0 0 0,1 0 0,-1-1 0,0 1 0,1-1 0,-1 1 0,4-3 0,4-1 0,0-1 0,-1 0 0,1-1 0,-2 0 0,13-10 0,-10 6 0,-1-1 0,0 1 0,0-1 0,0 0 0,-2-1 0,0-1 0,0 0 0,-1 0 0,-1 0 0,0-1 0,-1 1 0,-1-1 0,0-1 0,0 1 0,-2-1 0,0 1 0,0-1 0,-2-18 0,1 18 0,-2-41 0,1 54 0,0 0 0,0 0 0,-1 0 0,1 0 0,0 0 0,-1 0 0,1 0 0,-1 0 0,1 0 0,-1 1 0,0-1 0,0 0 0,0 0 0,0 1 0,0-1 0,-1 0 0,1 1 0,0-1 0,-1 1 0,-1-2 0,1 3 0,0 0 0,0 0 0,0 0 0,0 0 0,1 0 0,-1 1 0,0-1 0,0 1 0,1-1 0,-1 1 0,0 0 0,1 0 0,-1 0 0,0 0 0,1 0 0,0 0 0,-1 0 0,1 0 0,-1 0 0,1 1 0,0-1 0,0 0 0,0 1 0,0-1 0,-1 3 0,-26 41 0,0 27 0,18-44 0,-24 50 0,-8-1 0,4 1 0,-29 87 0,66-163 0,0 0 0,0 1 0,1-1 0,-1 1 0,1-1 0,-1 1 0,1-1 0,0 1 0,-1-1 0,1 1 0,1-1 0,-1 1 0,0-1 0,1 1 0,-1-1 0,1 1 0,-1-1 0,3 4 0,-1-3 0,1-1 0,-1 0 0,0 0 0,1 1 0,0-2 0,0 1 0,-1 0 0,1-1 0,0 1 0,0-1 0,0 0 0,1 0 0,-1 0 0,1 0 0,4 0 0,69 10 0,1-3 0,0-4 0,89-5 0,-70-1 0,618-4-1365,-690 6-5461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1:30:51.6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1:30:51.6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4:22:48.0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997 4386 24575,'-48'-49'0,"25"26"0,-1 0 0,0 2 0,-51-35 0,48 40 0,0-2 0,1-1 0,1-2 0,-26-24 0,-11-13 0,47 47 0,1-1 0,0-1 0,1 0 0,1-1 0,1 0 0,0-1 0,-1-1 0,3 1 0,-14-28 0,-11-54 0,16 43 0,-46-97 0,32 86 0,3-2 0,-20-71 0,12 29 0,23 63 0,3-2 0,0 0 0,3-1 0,-1-73 0,4 53 0,-18-91 0,1 68 0,5 22 0,2-2 0,4 2 0,-5-104 0,3-90 0,1-102 0,12 299 0,2 41 0,0 1 0,2-1 0,1-1 0,1 2 0,1 0 0,2 0 0,0 0 0,1 1 0,23-39 0,-16 36 0,0 1 0,1 1 0,2 0 0,1 1 0,1 1 0,0 1 0,47-34 0,350-218 0,-284 194 0,-87 54 0,-2-1 0,56-45 0,-87 61 0,2 0 0,27-15 0,-27 18 0,-2-1 0,0 0 0,20-16 0,-15 8 0,2 0 0,1 1 0,0 2 0,0 1 0,38-16 0,130-36 0,-79 30 0,-108 34 0,30-15 0,-29 4 0,-20-1 0,-11 1 0,-1 2 0,-1 0 0,1 2 0,-40-7 0,3 1 0,7-2 0,-107-23 0,150 36 0,24 2 0,33 6 0,-27-3 0,817 112 0,-782-111 0,-32-2 0,0 0 0,1 2 0,-1 0 0,25 7 0,-43-10 0,0 0 0,-1 0 0,1 0 0,0 2 0,-1-2 0,1 0 0,0 0 0,-1 1 0,1-1 0,0 0 0,-1 1 0,1-1 0,-1 0 0,1 1 0,0-1 0,-1 1 0,1-1 0,-1 1 0,0 0 0,1-1 0,-1 1 0,1-1 0,-1 1 0,0 0 0,1-1 0,-1 1 0,0 0 0,0-1 0,0 1 0,1 1 0,-16 13 0,-30 4 0,12-8 0,-1 1 0,2 2 0,-48 27 0,70-35 0,1 0 0,0 1 0,0 0 0,1 0 0,-1 1 0,1 0 0,1 0 0,0 2 0,0-1 0,1 0 0,0 1 0,1 0 0,0 0 0,1 0 0,-5 12 0,-13 79 36,18-72-386,-2-2 0,0 0-1,-21 50 1,12-48-6476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4:22:48.0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1 445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0,26-19 0,-24 18 0,18-15 0,-2 0 0,0-1 0,-1-1 0,-1 0 0,-1-2 0,0 0 0,18-36 0,-22 31 0,-6 14 0,0 0 0,1 0 0,0 1 0,15-22 0,-19 30 0,1 1 0,-1-1 0,1 1 0,0-1 0,0 1 0,0 0 0,0 0 0,0 0 0,1 0 0,-1 1 0,0-1 0,1 1 0,-1 0 0,1 0 0,0 0 0,-1 1 0,1-1 0,0 1 0,-1 0 0,1 0 0,0 0 0,3 1 0,2 0 0,0 1 0,-1 0 0,1 0 0,-1 1 0,1 0 0,-1 1 0,0 0 0,0 0 0,-1 0 0,1 1 0,-1 0 0,0 1 0,7 7 0,6 8 0,-1 1 0,28 42 0,-33-42 0,2 0 0,0-1 0,23 20 0,-32-35 0,1 0 0,0-1 0,0 0 0,0 0 0,1-1 0,0 0 0,0-1 0,0 0 0,0 0 0,0-1 0,0 0 0,18 1 0,10-2 0,74-5 0,-37-1 0,73 6 0,84-3 0,-213-1 0,1 0 0,-1-1 0,0-1 0,0-1 0,0 0 0,-1-1 0,24-14 0,-12 4 0,-1-1 0,-1-1 0,32-29 0,-44 31 0,0 0 0,-1-1 0,-1-1 0,0 0 0,-2-1 0,0 0 0,14-41 0,-5 18 0,-20 41 0,1 0 0,0 0 0,0 0 0,-1 0 0,1 0 0,1 1 0,-1-1 0,0 0 0,0 1 0,0-1 0,1 1 0,-1-1 0,1 1 0,2-2 0,-4 3 0,1 0 0,-1 1 0,1-1 0,-1 0 0,1 0 0,-1 0 0,0 1 0,1-1 0,-1 0 0,1 1 0,-1-1 0,1 0 0,-1 1 0,0-1 0,1 1 0,-1-1 0,0 0 0,0 1 0,1-1 0,-1 1 0,0-1 0,0 1 0,1-1 0,-1 1 0,0-1 0,0 1 0,0-1 0,0 1 0,0-1 0,0 1 0,0 0 0,4 63 0,-4-61 0,1 16 0,1 0 0,1 0 0,1 0 0,1-1 0,0 1 0,2-1 0,0 0 0,0-1 0,13 20 0,-12-21 0,-4-9 0,0-1 0,0 0 0,0 0 0,1-1 0,0 1 0,1-1 0,-1 0 0,1 0 0,0 0 0,0-1 0,0 0 0,1-1 0,-1 1 0,1-1 0,0 0 0,0-1 0,0 1 0,0-1 0,9 1 0,17 2 0,1-1 0,67-1 0,-65-3 0,617-2 0,-211-2 0,-376 5 0,160-6 0,-189 1 0,0-1 0,0-1 0,0-3 0,36-13 0,-41 11 0,8-5 0,1 2 0,1 2 0,0 1 0,0 2 0,53-3 0,-54 8 0,-1-2 0,0-1 0,42-14 0,-40 9 0,1 2 0,71-7 0,-77 15 0,98-2 0,-124 5 0,1 0 0,-1 0 0,1 1 0,-1 0 0,0 1 0,0 1 0,0 0 0,0 0 0,10 6 0,-15-6 0,-1 0 0,0 0 0,0 0 0,0 1 0,0 0 0,-1 0 0,0 0 0,0 0 0,0 1 0,0-1 0,-1 1 0,0 0 0,0 0 0,2 9 0,0 5 0,0 1 0,-1-1 0,1 23 0,-2-18 0,0-18-1365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4:22:48.0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3436 419 24575,'-3'-5'0,"-1"1"0,0-1 0,0 1 0,0 0 0,-1 0 0,1 1 0,-1-1 0,0 1 0,-9-4 0,0-2 0,-22-11 0,-2 3 0,-1 0 0,0 3 0,-81-20 0,17 4 0,2 2 0,-1 4 0,0 5 0,-176-12 0,-321 24 0,348 10 0,101-5 0,-169 4 0,276 4 0,1 1 0,-1 2 0,2 1 0,-70 29 0,53-19 0,-92 21 0,77-30 0,-82 1 0,-50 6 0,199-17 0,-1 0 0,1 1 0,-1 0 0,0 0 0,1 1 0,-1 0 0,1 0 0,-10 7 0,13-8 0,1 0 0,0-1 0,-1 1 0,1 0 0,0 1 0,0-1 0,0 1 0,1-1 0,-1 1 0,0-1 0,1 1 0,0 0 0,0 0 0,0 0 0,0 0 0,0 0 0,0 0 0,1 0 0,0 0 0,-1 0 0,1 4 0,0-6 0,0 0 0,0 1 0,0-1 0,0 0 0,0 1 0,1-1 0,-1 0 0,0 1 0,1-1 0,-1 0 0,1 0 0,-1 1 0,1-1 0,-1 0 0,1 0 0,0 0 0,0 0 0,-1 0 0,1 0 0,0 0 0,0 0 0,0 0 0,0 0 0,0 0 0,1-1 0,1 2 0,-1-2 0,0 1 0,1-1 0,-1 0 0,0 0 0,1 0 0,-1 0 0,0 0 0,1 0 0,-1-1 0,0 1 0,1-1 0,-1 1 0,4-3 0,4-1 0,0-1 0,-1 0 0,1-1 0,-2 0 0,13-10 0,-10 6 0,-1-1 0,0 1 0,0-1 0,0 0 0,-2-1 0,0-1 0,0 0 0,-1 0 0,-1 0 0,0-1 0,-1 1 0,-1-1 0,0-1 0,0 1 0,-2-1 0,0 1 0,0-1 0,-2-18 0,1 18 0,-2-41 0,1 54 0,0 0 0,0 0 0,-1 0 0,1 0 0,0 0 0,-1 0 0,1 0 0,-1 0 0,1 0 0,-1 1 0,0-1 0,0 0 0,0 0 0,0 1 0,0-1 0,-1 0 0,1 1 0,0-1 0,-1 1 0,-1-2 0,1 3 0,0 0 0,0 0 0,0 0 0,0 0 0,1 0 0,-1 1 0,0-1 0,0 1 0,1-1 0,-1 1 0,0 0 0,1 0 0,-1 0 0,0 0 0,1 0 0,0 0 0,-1 0 0,1 0 0,-1 0 0,1 1 0,0-1 0,0 0 0,0 1 0,0-1 0,-1 3 0,-26 41 0,0 27 0,18-44 0,-24 50 0,-8-1 0,4 1 0,-29 87 0,66-163 0,0 0 0,0 1 0,1-1 0,-1 1 0,1-1 0,-1 1 0,1-1 0,0 1 0,-1-1 0,1 1 0,1-1 0,-1 1 0,0-1 0,1 1 0,-1-1 0,1 1 0,-1-1 0,3 4 0,-1-3 0,1-1 0,-1 0 0,0 0 0,1 1 0,0-2 0,0 1 0,-1 0 0,1-1 0,0 1 0,0-1 0,0 0 0,1 0 0,-1 0 0,1 0 0,4 0 0,69 10 0,1-3 0,0-4 0,89-5 0,-70-1 0,618-4-1365,-690 6-5461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4:22:48.0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4:22:48.0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5:41:55.5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988 4351 24575,'-49'-48'0,"27"25"0,-2 0 0,0 2 0,-50-34 0,47 39 0,0-3 0,2 0 0,0-1 0,-25-25 0,-12-12 0,47 46 0,1-1 0,1-1 0,0 0 0,1-1 0,1 0 0,0 0 0,0-2 0,2 1 0,-14-28 0,-11-54 0,16 44 0,-45-96 0,31 84 0,4-1 0,-21-72 0,12 31 0,23 61 0,3-1 0,1-1 0,2 0 0,-1-74 0,4 54 0,-18-91 0,1 67 0,5 23 0,2-2 0,4 1 0,-4-103 0,2-88 0,1-102 0,12 297 0,2 40 0,0 1 0,2-2 0,1 1 0,1 1 0,1 0 0,1 0 0,1 1 0,1 0 0,23-38 0,-16 35 0,0 1 0,1 1 0,2 1 0,0 0 0,2 1 0,0 1 0,46-34 0,347-215 0,-281 192 0,-87 52 0,-2 0 0,57-44 0,-87 60 0,1 0 0,28-14 0,-28 17 0,-1-1 0,1 0 0,18-16 0,-14 8 0,2 0 0,0 2 0,1 1 0,0 1 0,38-16 0,128-35 0,-79 28 0,-106 35 0,30-15 0,-29 5 0,-19-2 0,-13 1 0,0 2 0,0 0 0,0 2 0,-39-7 0,2 1 0,8-1 0,-106-24 0,148 36 0,24 2 0,32 6 0,-26-3 0,809 111 0,-775-110 0,-31-2 0,0 0 0,1 2 0,-1 0 0,24 7 0,-42-10 0,0 0 0,-1 0 0,1 0 0,0 1 0,-1-1 0,1 0 0,0 0 0,-1 1 0,1-1 0,0 0 0,-1 1 0,1-1 0,-1 0 0,1 1 0,0-1 0,-1 1 0,1-1 0,-1 1 0,0 0 0,1-1 0,-1 1 0,1-1 0,-1 1 0,0 0 0,1-1 0,-1 1 0,0 0 0,0-1 0,0 1 0,1 1 0,-16 13 0,-29 4 0,10-7 0,1 0 0,1 2 0,-46 26 0,68-34 0,1 0 0,-1 1 0,1 0 0,1 0 0,0 1 0,0 0 0,1 0 0,0 1 0,0 0 0,1 0 0,0 1 0,1 0 0,0 0 0,1 0 0,-4 12 0,-14 78 36,18-72-386,-2-1 0,0 1-1,-20 48 1,11-47-6476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5:41:55.5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1 461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0,26-20 0,-24 19 0,18-16 0,-2 1 0,0-2 0,-1 0 0,-1-1 0,-1-2 0,0 0 0,18-37 0,-22 33 0,-6 13 0,0 1 0,1-1 0,0 2 0,14-23 0,-18 31 0,1 1 0,-1-2 0,1 2 0,0-1 0,0 1 0,0 0 0,0 0 0,0 0 0,1 0 0,-1 1 0,0-1 0,1 1 0,-1 0 0,1 0 0,0 0 0,-1 1 0,1-1 0,0 1 0,-1 0 0,1 0 0,0 0 0,3 1 0,2 0 0,0 1 0,-1 0 0,1 0 0,-1 1 0,1 0 0,-1 1 0,0 0 0,0 1 0,-1-1 0,1 1 0,-1 0 0,0 1 0,7 8 0,6 7 0,-1 2 0,28 43 0,-33-43 0,2 0 0,0-1 0,23 20 0,-32-36 0,1 1 0,0-2 0,0 0 0,0 0 0,1-1 0,0 0 0,0-1 0,0 1 0,0-1 0,0-1 0,0 0 0,17 1 0,11-2 0,74-5 0,-37-1 0,73 6 0,83-3 0,-212-2 0,1 1 0,-1-1 0,0-1 0,0-1 0,0 0 0,-1-2 0,24-13 0,-12 3 0,-1-1 0,-1 0 0,32-31 0,-44 33 0,0-1 0,-1-1 0,-1 0 0,0-1 0,-3-1 0,1 1 0,14-44 0,-5 20 0,-20 42 0,1 0 0,0 0 0,0 0 0,-1 0 0,1 0 0,1 0 0,-1 0 0,0 0 0,0 1 0,0-1 0,1 1 0,-1-1 0,1 1 0,2-2 0,-4 3 0,1 0 0,-1 1 0,1-1 0,-1 0 0,1 0 0,-1 0 0,0 1 0,1-1 0,-1 0 0,1 1 0,-1-1 0,1 0 0,-1 1 0,0-1 0,1 1 0,-1-1 0,0 0 0,0 1 0,1-1 0,-1 1 0,0-1 0,0 1 0,1-1 0,-1 1 0,0-1 0,0 1 0,0-1 0,0 1 0,0-1 0,0 1 0,0 0 0,4 66 0,-4-64 0,1 16 0,1 1 0,1 0 0,1-1 0,1 0 0,0 1 0,2-2 0,0 1 0,0-1 0,13 20 0,-12-22 0,-4-8 0,0-2 0,0 0 0,0 0 0,1-1 0,0 2 0,1-2 0,-1 0 0,1 0 0,0 0 0,0 0 0,0-1 0,1-1 0,-1 1 0,1-1 0,0 0 0,0-1 0,0 1 0,0-1 0,9 1 0,17 3 0,1-2 0,67-1 0,-65-3 0,615-2 0,-210-2 0,-375 5 0,160-6 0,-189 0 0,0 0 0,-1-1 0,1-3 0,36-14 0,-41 12 0,8-6 0,1 3 0,1 1 0,0 2 0,0 1 0,53-2 0,-54 8 0,-2-2 0,1-2 0,42-13 0,-40 8 0,1 3 0,71-8 0,-77 16 0,97-2 0,-123 5 0,1 0 0,-1 0 0,1 1 0,-1 0 0,0 1 0,0 2 0,0-1 0,0 0 0,10 6 0,-15-6 0,-1 0 0,0 1 0,0-1 0,0 1 0,0 0 0,-1 0 0,0 0 0,0 1 0,0 0 0,0-1 0,-1 1 0,0 0 0,0 1 0,2 8 0,0 6 0,0 1 0,-1-2 0,1 25 0,-2-19 0,0-19-1365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5:41:55.5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3432 414 24575,'-3'-5'0,"-1"1"0,0-1 0,0 1 0,0 0 0,-1 1 0,1 0 0,-1-1 0,0 1 0,-8-4 0,-2-2 0,-21-11 0,-2 3 0,-1 0 0,0 3 0,-80-19 0,16 3 0,2 3 0,-1 3 0,0 5 0,-176-11 0,-320 23 0,348 10 0,99-5 0,-167 4 0,275 4 0,0 1 0,1 2 0,1 0 0,-70 30 0,53-20 0,-91 22 0,75-30 0,-80 0 0,-51 7 0,199-17 0,-2 0 0,2 1 0,-1 0 0,1 0 0,0 1 0,-1 0 0,1 0 0,-10 7 0,13-8 0,1 0 0,0-1 0,-1 1 0,1 0 0,0 1 0,0-1 0,0 1 0,1-1 0,-1 1 0,0-1 0,1 1 0,0 0 0,0 0 0,0 0 0,0 0 0,0 0 0,0 0 0,1 0 0,0 0 0,-1 0 0,1 4 0,0-6 0,0 0 0,0 1 0,0-2 0,0 1 0,0 1 0,1-1 0,-1 0 0,0 1 0,1-1 0,-1 0 0,1 0 0,-1 1 0,1-1 0,-1 0 0,1 0 0,0 0 0,0 0 0,-1 0 0,1 0 0,0 0 0,0 0 0,0 0 0,0 0 0,0 0 0,1-1 0,1 2 0,-1-2 0,0 1 0,1-1 0,-1 0 0,0 0 0,1 0 0,-1 0 0,0 0 0,1 0 0,-1-1 0,0 1 0,1-1 0,-1 1 0,4-3 0,4-1 0,-1-1 0,0 0 0,2-1 0,-3 1 0,13-11 0,-10 6 0,-1-1 0,0 1 0,0-1 0,-1 0 0,-1-1 0,0-1 0,1 0 0,-2 1 0,-1-1 0,0-1 0,-1 1 0,-1-1 0,0 0 0,0 0 0,-2-1 0,0 1 0,0 0 0,-2-20 0,1 19 0,-2-40 0,1 53 0,0 0 0,0 0 0,-1 0 0,1 1 0,0-1 0,-1 0 0,1 0 0,-1 0 0,1 0 0,-1 1 0,0-1 0,0 0 0,0 0 0,0 1 0,0-1 0,-1 0 0,1 1 0,0-1 0,-1 1 0,-1-2 0,1 3 0,0 0 0,0 0 0,0 0 0,0 0 0,1 0 0,-1 1 0,0-1 0,0 1 0,1-1 0,-1 1 0,0 0 0,1 0 0,-1 0 0,-1 0 0,2 0 0,0 0 0,-1 0 0,1 0 0,-1 0 0,1 1 0,0-1 0,0 0 0,0 1 0,0-1 0,-1 3 0,-25 40 0,-1 28 0,18-45 0,-25 50 0,-6-1 0,3 1 0,-29 87 0,66-162 0,0 0 0,0 1 0,1-2 0,-1 2 0,1-1 0,-1 1 0,1-1 0,0 1 0,-1-1 0,1 1 0,1-1 0,-1 1 0,0-1 0,1 1 0,-1-1 0,1 1 0,-1-1 0,3 4 0,-1-3 0,1-1 0,-1 0 0,0 0 0,1 1 0,0-2 0,0 1 0,-1 0 0,1-1 0,0 0 0,0 0 0,0 0 0,1 0 0,-1 0 0,0 0 0,6 0 0,68 10 0,1-3 0,0-4 0,88-5 0,-69-1 0,618-4-1365,-691 6-5461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5:41:55.5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5:41:55.5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4:42.2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597 0 24575,'-10'0'0,"1"1"0,0 0 0,0 0 0,0 1 0,0 0 0,0 1 0,1-1 0,-1 2 0,1-1 0,-1 1 0,1 1 0,-8 4 0,6 0 0,-1-1 0,1 2 0,0-1 0,1 1 0,0 1 0,0-1 0,-8 16 0,-3 10 0,2 1 0,1 1 0,3 0 0,-15 56 0,22-57 0,1 1 0,2 0 0,2 1 0,1-1 0,5 42 0,-2 6 0,-2-73 0,5 115 0,-3-109 0,1-1 0,1 1 0,0-1 0,13 33 0,-2-18 0,-3 1 0,0 0 0,-3 1 0,0 0 0,-3 0 0,0 1 0,0 69 0,-10 135 0,3-234 0,1 0 0,-1 0 0,0-1 0,-1 1 0,1-1 0,-4 7 0,5-11 0,0 0 0,-1 0 0,1 0 0,0 0 0,-1-1 0,1 1 0,-1 0 0,1 0 0,-1 0 0,0-1 0,1 1 0,-1 0 0,0-1 0,0 1 0,1 0 0,-1-1 0,0 1 0,0-1 0,0 1 0,0-1 0,0 0 0,0 1 0,0-1 0,1 0 0,-1 1 0,0-1 0,0 0 0,0 0 0,0 0 0,0 0 0,0 0 0,0 0 0,0 0 0,0-1 0,0 1 0,0 0 0,0 0 0,0-1 0,0 1 0,0-1 0,0 1 0,0-1 0,-1 0 0,-6-5 0,1 0 0,-1 0 0,1 0 0,0-1 0,1 0 0,0-1 0,-7-9 0,-34-64 0,5 7 0,27 53 0,-31-33 0,40 47 0,0 1 0,0 1 0,0-1 0,-1 1 0,0 0 0,0 1 0,0 0 0,-1 0 0,-8-3 0,15 6 0,0 1 0,0 0 0,0 0 0,-1 0 0,1-1 0,0 1 0,0 0 0,0 0 0,0 0 0,0 1 0,0-1 0,0 0 0,0 0 0,0 1 0,0-1 0,0 0 0,0 1 0,0-1 0,0 1 0,0-1 0,1 1 0,-1-1 0,-1 2 0,0 0 0,0 0 0,1 0 0,-1 0 0,1 1 0,0-1 0,0 0 0,-1 0 0,1 1 0,0 3 0,-2 4 0,1 1 0,0-1 0,0 20 0,2-19 0,1 1 0,0 0 0,1-1 0,0 1 0,1-1 0,0 0 0,0 1 0,2-2 0,-1 1 0,8 12 0,9 11 0,41 53 0,-11-18 0,-45-59 0,1 1 0,1 0 0,0 0 0,0-1 0,1 0 0,16 14 0,-23-22 0,0-1 0,1 1 0,-1-1 0,1 1 0,-1-1 0,1 0 0,0 0 0,-1 0 0,1 0 0,0-1 0,0 1 0,0-1 0,-1 1 0,1-1 0,0 0 0,0 0 0,0 0 0,0-1 0,-1 1 0,1-1 0,0 1 0,0-1 0,-1 0 0,1 0 0,0 0 0,-1-1 0,1 1 0,-1-1 0,1 1 0,-1-1 0,0 0 0,3-2 0,0-1 0,-1 0 0,1 0 0,-1 0 0,0-1 0,0 1 0,3-8 0,13-16 0,54-55 79,20-28-1523,-79 90-5382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4:44.0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1277 24575,'1'-2'0,"0"0"0,0 0 0,1 0 0,-1 0 0,1 0 0,0 0 0,-1 0 0,1 0 0,0 1 0,0-1 0,0 1 0,0-1 0,0 1 0,1 0 0,-1 0 0,4-1 0,19-11 0,1 1 0,1 1 0,0 2 0,0 1 0,0 1 0,56-7 0,-79 14 0,-1-1 0,0 1 0,1 1 0,-1-1 0,1 0 0,-1 1 0,0-1 0,1 1 0,-1 0 0,0 0 0,0 1 0,0-1 0,0 0 0,0 1 0,0 0 0,0 0 0,0 0 0,-1 0 0,1 0 0,-1 1 0,1-1 0,-1 1 0,0-1 0,0 1 0,0 0 0,0 0 0,-1 0 0,1 0 0,-1 0 0,0 0 0,0 0 0,0 1 0,0-1 0,0 0 0,-1 1 0,0-1 0,1 0 0,-2 7 0,1-3 0,0-1 0,-1 1 0,0-1 0,0 1 0,-1-1 0,1 0 0,-2 1 0,1-1 0,0 0 0,-1 0 0,0-1 0,-1 1 0,1-1 0,-1 1 0,0-1 0,-1 0 0,1 0 0,-1-1 0,-9 7 0,1-4 0,0-1 0,-1-1 0,0 0 0,0-1 0,-1 0 0,-18 2 0,-28 8 0,48-11 0,8-2 0,-1 0 0,1 0 0,0 1 0,1 0 0,-1 0 0,0 0 0,0 0 0,1 1 0,-1-1 0,-3 4 0,8-5 0,0-1 0,0 0 0,0 1 0,0-1 0,0 0 0,1 1 0,-1-1 0,0 0 0,0 1 0,0-1 0,0 0 0,1 0 0,-1 1 0,0-1 0,0 0 0,1 0 0,-1 1 0,0-1 0,1 0 0,-1 0 0,0 0 0,0 0 0,1 0 0,-1 1 0,0-1 0,1 0 0,-1 0 0,0 0 0,1 0 0,-1 0 0,0 0 0,1 0 0,-1 0 0,0 0 0,1 0 0,0 0 0,17 2 0,62-1 0,0-3 0,91-15 0,28-2 0,-190 19 0,1-1 0,-1 1 0,0 1 0,0 0 0,11 2 0,-18-3 0,0 1 0,0 0 0,0 0 0,0-1 0,-1 1 0,1 0 0,0 0 0,0 1 0,-1-1 0,1 0 0,-1 1 0,1-1 0,-1 1 0,1-1 0,-1 1 0,0-1 0,0 1 0,0 0 0,0 0 0,0 0 0,0 0 0,0-1 0,-1 1 0,1 0 0,-1 0 0,1 0 0,-1 4 0,1 1 0,-1 0 0,0 0 0,0 0 0,0 0 0,-1 0 0,0 0 0,0-1 0,-1 1 0,0 0 0,0 0 0,-1-1 0,1 1 0,-6 8 0,2-7 0,0 1 0,0-1 0,-1-1 0,0 1 0,-1-1 0,1 0 0,-1-1 0,-13 8 0,-1-1 0,-1-1 0,0-1 0,-1-2 0,0 0 0,-1-1 0,-40 7 0,15-8-455,0-3 0,-66-1 0,74-3-6371</inkml:trace>
  <inkml:trace contextRef="#ctx0" brushRef="#br0" timeOffset="1214.56">1504 790 24575,'-1'-1'0,"0"-1"0,0 0 0,0 1 0,0-1 0,-1 1 0,1-1 0,0 1 0,-1-1 0,1 1 0,-1 0 0,1 0 0,-1 0 0,1 0 0,-1 0 0,0 0 0,1 0 0,-1 0 0,-4 0 0,6 1 0,-23-8 0,0 0 0,-1 2 0,0 1 0,-33-2 0,-12-3 0,-6-5 0,0 4 0,-137-2 0,204 13 0,0 1 0,-1 0 0,1 0 0,0 1 0,-1 0 0,1 0 0,0 1 0,1 0 0,-1 0 0,0 1 0,1 0 0,0 0 0,0 1 0,0 0 0,1 0 0,-11 11 0,9-6 0,0 0 0,0 1 0,1 0 0,1 0 0,0 1 0,0-1 0,1 2 0,1-1 0,0 0 0,-3 14 0,-6 26 0,4-19 0,-8 64 0,16-86 0,1 0 0,0 0 0,0 1 0,1-1 0,0 0 0,1 0 0,1 0 0,0 0 0,7 18 0,-1-9 0,1-1 0,0 0 0,2-1 0,0 0 0,1-1 0,1-1 0,0 0 0,31 26 0,-32-31 0,1-1 0,1 0 0,0-2 0,0 1 0,1-2 0,0 0 0,0-1 0,1-1 0,-1 0 0,1-1 0,24 2 0,35-2 19,81-5 0,-54-2-1422,-77 3-5423</inkml:trace>
  <inkml:trace contextRef="#ctx0" brushRef="#br0" timeOffset="2824.5">1546 176 24575,'-3'-5'0,"0"-1"0,1 1 0,0-1 0,0 0 0,0 0 0,1 0 0,0 0 0,0 0 0,1 0 0,-1 0 0,2 0 0,-1 0 0,0-1 0,3-8 0,-2 11 0,0 1 0,1-1 0,-1 0 0,1 1 0,0-1 0,0 1 0,0 0 0,1 0 0,-1 0 0,1 0 0,0 0 0,0 0 0,0 1 0,0-1 0,0 1 0,0 0 0,1 0 0,-1 0 0,1 0 0,-1 0 0,1 1 0,7-2 0,3-1 0,0 1 0,0 0 0,1 2 0,-1-1 0,1 2 0,18 1 0,-29-1 0,0 0 0,-1 0 0,1 1 0,-1-1 0,1 1 0,-1 0 0,1 0 0,-1 1 0,1-1 0,-1 1 0,0-1 0,0 1 0,0 0 0,0 0 0,0 1 0,0-1 0,-1 1 0,1-1 0,-1 1 0,1 0 0,-1 0 0,0 0 0,0 0 0,0 0 0,-1 0 0,1 1 0,-1-1 0,0 0 0,0 1 0,1 5 0,1 11 0,-1-1 0,-1 1 0,-1 0 0,-1 0 0,0 0 0,-6 24 0,4-32 0,0 0 0,-1 0 0,0 0 0,-1 0 0,0-1 0,0 0 0,-2 0 0,1 0 0,-2-1 0,1 0 0,-10 10 0,-11 7 0,-2-1 0,0-1 0,-39 24 0,58-42 0,0 1 0,0 0 0,0 0 0,1 1 0,0 1 0,-13 16 0,22-26 0,1 1 0,0-1 0,0 0 0,-1 0 0,1 0 0,0 1 0,-1-1 0,1 0 0,0 0 0,0 1 0,0-1 0,-1 0 0,1 1 0,0-1 0,0 0 0,0 1 0,-1-1 0,1 0 0,0 1 0,0-1 0,0 0 0,0 1 0,0-1 0,0 0 0,0 1 0,0-1 0,0 0 0,0 1 0,0-1 0,0 0 0,0 1 0,0-1 0,0 0 0,0 1 0,1-1 0,-1 0 0,0 1 0,0-1 0,0 0 0,1 1 0,-1-1 0,0 0 0,0 0 0,0 1 0,1-1 0,-1 0 0,0 0 0,1 1 0,-1-1 0,1 0 0,20 0 0,-14-1 0,625-17-1365,-587 18-5461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4:57.4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2853 317 24575,'-362'-24'0,"259"14"0,-84-11 0,65 6 0,-152 0 0,256 15 0,-47 1 0,1-2 0,-74-11 0,103 9 0,-1 1 0,1 2 0,-1 1 0,-38 7 0,-47 1 0,-486-26 0,535 13 0,-1 4 0,-113 12 0,182-11 0,-37 1 0,40-2 0,1 0 0,-1 0 0,1-1 0,-1 1 0,0 0 0,1 0 0,-1 0 0,1-1 0,-1 1 0,1 0 0,-1 0 0,1-1 0,-1 1 0,1 0 0,0-1 0,-1 1 0,1-1 0,-1 1 0,1-1 0,0 1 0,-1 0 0,1-1 0,-1 0 0,1 0 0,0 0 0,0 0 0,0 0 0,0 0 0,1 0 0,-1 0 0,0-1 0,0 1 0,1 0 0,-1 0 0,0 0 0,1 0 0,-1 0 0,1 1 0,-1-1 0,1 0 0,1-1 0,8-9 0,0 1 0,1 0 0,0 0 0,0 2 0,1-1 0,1 2 0,-1-1 0,19-6 0,11-9 0,-29 15 0,1-1 0,-1-1 0,0 0 0,22-22 0,-35 31 0,1 1 0,-1 0 0,1-1 0,-1 1 0,1 0 0,-1-1 0,1 1 0,-1-1 0,0 1 0,1-1 0,-1 1 0,0-1 0,1 1 0,-1-1 0,0 1 0,0-1 0,1 0 0,-1 1 0,0-1 0,0 1 0,0-1 0,0 1 0,0-1 0,0 0 0,0 1 0,0-1 0,0 1 0,0-1 0,0 0 0,0 0 0,-1 0 0,0 1 0,0-1 0,0 1 0,0 0 0,0-1 0,0 1 0,0 0 0,0 0 0,-1 0 0,1 0 0,0 0 0,0 0 0,0 0 0,0 0 0,-1 0 0,-46 11 0,11 1 0,1 2 0,0 2 0,2 0 0,0 3 0,0 1 0,2 1 0,-57 49 0,85-66 0,-4 2 0,1 1 0,0 0 0,1 1 0,-7 9 0,12-16 0,0 1 0,0 0 0,0 0 0,0 0 0,0 0 0,0 0 0,1 0 0,-1 0 0,0 0 0,1 1 0,0-1 0,0 0 0,-1 0 0,1 0 0,1 0 0,-1 1 0,0-1 0,0 0 0,1 0 0,-1 0 0,1 0 0,0 0 0,0 0 0,1 4 0,2-1 0,-1 0 0,1-1 0,1 1 0,-1-1 0,0 1 0,1-1 0,0-1 0,0 1 0,8 4 0,56 23 0,-52-24 0,268 108-1365,-254-102-5461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5:06.6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2927 108 24575,'-2028'0'0,"1986"2"0,-76 14 0,15-1 0,-266-2 0,364-13 0,-1-1 0,1 0 0,0 0 0,0 0 0,0-1 0,0 0 0,0 0 0,0 0 0,1 0 0,-1-1 0,1 0 0,-1 0 0,1 0 0,0 0 0,-6-7 0,9 8 0,-1 1 0,1-1 0,-1 0 0,1 0 0,-1 0 0,1-1 0,0 1 0,0 0 0,0 0 0,0 0 0,1-1 0,-1 1 0,1-1 0,-1 1 0,1 0 0,0-1 0,0 1 0,0-1 0,0 1 0,0-1 0,1 1 0,-1 0 0,1-1 0,-1 1 0,1 0 0,0-1 0,0 1 0,0 0 0,0 0 0,0 0 0,1 0 0,-1 0 0,1 0 0,-1 0 0,3-2 0,0 0 0,1 1 0,0-1 0,0 1 0,0 0 0,1 0 0,-1 1 0,1 0 0,-1 0 0,1 0 0,0 0 0,6 0 0,-7 1 0,-69 11 0,-115 29 0,178-39 0,0 0 0,0 0 0,0 0 0,0 1 0,0-1 0,1 0 0,-1 1 0,0-1 0,0 1 0,0-1 0,1 0 0,-1 1 0,0 0 0,1-1 0,-1 1 0,0-1 0,1 1 0,-1 0 0,1 0 0,-1-1 0,1 1 0,-1 0 0,1 0 0,-1 0 0,1-1 0,0 1 0,0 0 0,-1 1 0,1 0 0,1 0 0,-1-1 0,1 1 0,-1-1 0,1 1 0,-1-1 0,1 1 0,0-1 0,0 1 0,0-1 0,0 0 0,0 1 0,0-1 0,2 2 0,5 5 0,1-1 0,0 0 0,15 9 0,138 63 0,-72-37 0,-82-39-170,-1 1-1,-1 0 0,1 1 1,0-1-1,-1 1 0,0 1 1,6 6-1,3 8-6655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5:21.0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1719 2138 24575,'6'-12'0,"2"1"0,0 0 0,0 0 0,1 0 0,0 1 0,1 0 0,0 1 0,0 0 0,1 1 0,1 0 0,-1 1 0,1 0 0,19-8 0,16-4 0,0 2 0,65-14 0,-92 26 0,14-4 0,0 2 0,51-4 0,-76 10 0,0 0 0,1 1 0,-1 0 0,0 1 0,1 0 0,-1 1 0,0-1 0,0 2 0,0-1 0,0 2 0,-1-1 0,1 1 0,-1 0 0,9 6 0,-13-7 0,0 0 0,0 1 0,-1-1 0,0 1 0,0-1 0,0 1 0,0 0 0,0 0 0,-1 1 0,1-1 0,-1 0 0,0 1 0,-1-1 0,1 1 0,-1 0 0,0 0 0,0-1 0,0 1 0,-1 0 0,0 0 0,0 0 0,0 0 0,0-1 0,-1 1 0,-2 9 0,1-6 0,-1 1 0,-1-1 0,1 0 0,-1 0 0,-1 0 0,1 0 0,-1-1 0,-1 1 0,1-1 0,-1-1 0,-1 1 0,1-1 0,-10 7 0,-8 3 0,-1 0 0,0-2 0,-1 0 0,-1-2 0,-41 13 0,-144 28 0,183-46 0,23-3 0,14-1 0,15-1 0,66-4 0,-62 0 0,1 1 0,0 2 0,46 6 0,-70-6 0,1 1 0,0-1 0,0 1 0,-1 1 0,1-1 0,-1 0 0,1 1 0,-1 0 0,0 0 0,0 0 0,-1 1 0,1-1 0,-1 1 0,1 0 0,-1 0 0,0 0 0,-1 1 0,1-1 0,-1 1 0,0-1 0,0 1 0,0 0 0,-1-1 0,3 11 0,0 9 0,0-1 0,-2 1 0,-1 45 0,-1-61 0,0-2 0,0 0 0,0 1 0,-1-1 0,0 0 0,0 0 0,-1 0 0,1 1 0,-1-2 0,-1 1 0,1 0 0,-1 0 0,0-1 0,-5 7 0,4-6 0,-2-1 0,1 0 0,0 0 0,-1 0 0,0-1 0,0 0 0,-1 0 0,1-1 0,-1 1 0,0-1 0,-8 2 0,-164 55 120,139-49-615,0-1 0,-65 5 0,67-12-6331</inkml:trace>
  <inkml:trace contextRef="#ctx0" brushRef="#br0" timeOffset="1467.79">3624 1694 24575,'-74'-1'0,"-82"4"0,149-3 0,0 1 0,-1 1 0,1-1 0,0 2 0,-1-1 0,1 1 0,0-1 0,1 2 0,-1-1 0,1 1 0,-1 0 0,1 1 0,0-1 0,1 1 0,-1 0 0,-9 12 0,2 1 0,1 1 0,1 1 0,0 0 0,-9 26 0,-10 19 0,23-54 0,0-1 0,0 0 0,-11 12 0,11-14 0,1-1 0,0 1 0,0 0 0,1 0 0,0 1 0,-5 10 0,-32 127 0,40-139 0,0 0 0,0 1 0,0 0 0,1-1 0,0 1 0,1 0 0,0-1 0,0 1 0,1 0 0,-1 0 0,2-1 0,-1 1 0,1-1 0,0 1 0,7 13 0,-4-10 0,1-1 0,0 0 0,1-1 0,0 1 0,1-1 0,0-1 0,0 0 0,1 0 0,0 0 0,11 6 0,-9-7 0,1 0 0,0-1 0,0-1 0,1 0 0,-1-1 0,1 0 0,24 3 0,98 6 0,-91-11 0,-33-1-104,11 1-317,-1-1 1,37-4 0,-34-1-6406</inkml:trace>
  <inkml:trace contextRef="#ctx0" brushRef="#br0" timeOffset="3030.67">3709 1270 24575,'0'-4'0,"0"1"0,0-1 0,1 0 0,-1 0 0,1 0 0,0 0 0,1 1 0,-1-1 0,1 0 0,-1 1 0,1 0 0,0-1 0,0 1 0,5-6 0,-2 4 0,0 0 0,0 1 0,1-1 0,0 1 0,0 0 0,0 1 0,11-6 0,7 0 0,1 1 0,0 1 0,38-6 0,-48 10 0,44-11 0,-37 8 0,40-5 0,-54 10 0,0 1 0,0 0 0,1 0 0,-1 1 0,0 0 0,0 1 0,0-1 0,13 6 0,-11-2 0,0 0 0,0 1 0,-1 0 0,1 1 0,-1 0 0,-1 0 0,1 1 0,-1 0 0,-1 1 0,1-1 0,-2 2 0,1-1 0,-1 1 0,0 0 0,-1 0 0,-1 0 0,1 1 0,-2 0 0,1 0 0,-1 0 0,-1 0 0,0 0 0,-1 0 0,0 1 0,-1 12 0,0-19 0,-1 1 0,-1-1 0,1 1 0,-1-1 0,0 0 0,0 0 0,0 1 0,-1-2 0,0 1 0,0 0 0,0 0 0,-1-1 0,1 0 0,-8 7 0,-6 4 0,0-1 0,-27 16 0,22-15 0,-22 14 0,21-14 0,0 0 0,-34 31 0,57-45 0,-1 0 0,0-1 0,0 1 0,1 0 0,-1-1 0,1 1 0,-1 0 0,0 0 0,1 0 0,-1-1 0,1 1 0,0 0 0,-1 0 0,1 0 0,0 0 0,-1 0 0,1 0 0,0 0 0,0 0 0,0 2 0,0-3 0,1 1 0,-1 0 0,0-1 0,1 1 0,-1 0 0,1-1 0,-1 1 0,1 0 0,-1-1 0,1 1 0,-1-1 0,1 1 0,0-1 0,-1 1 0,1-1 0,0 0 0,-1 1 0,1-1 0,0 0 0,0 1 0,7 1 0,0-1 0,-1 1 0,1-1 0,8 0 0,-13-1 0,400 0 34,-228-4-1433,-94 3-5427</inkml:trace>
  <inkml:trace contextRef="#ctx0" brushRef="#br0" timeOffset="3961.04">5275 2181 24575,'-15'0'0,"-18"0"0,-26 0 0,-17 0 0,-18 0 0,-17 0 0,-1 0 0,11 0 0,16 0 0,19 0 0,13 0 0,12 0 0,13 0-8191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5:28.4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1 338 24575,'2'4'0,"1"0"0,-1-1 0,0 1 0,0 0 0,0 0 0,-1 0 0,1 1 0,-1-1 0,0 0 0,1 6 0,3 10 0,40 111 0,13 40 0,-51-142 0,-1-1 0,-1 1 0,-1-1 0,-1 39 0,-6 55 0,4-200 0,-2 30 0,2 0 0,2 1 0,16-80 0,56-87 0,-26 83 0,-45 121 0,-1 0 0,2 0 0,-1 1 0,1 0 0,1 0 0,0 0 0,0 0 0,0 1 0,1 0 0,1 0 0,-1 1 0,1 0 0,0 1 0,1-1 0,0 2 0,0-1 0,0 1 0,19-8 0,-25 12 0,-1 0 0,0 1 0,0-1 0,1 0 0,-1 1 0,1-1 0,-1 1 0,1 0 0,-1 0 0,1 0 0,-1 0 0,1 0 0,-1 1 0,0-1 0,1 1 0,-1-1 0,1 1 0,-1 0 0,0 0 0,3 1 0,-1 1 0,0 0 0,0 0 0,-1 0 0,1 0 0,-1 1 0,0-1 0,1 1 0,-2 0 0,6 8 0,-2 0 0,0 0 0,-1 1 0,0 0 0,-1 0 0,0 1 0,3 20 0,-5-13 0,0 0 0,-1 0 0,-2 22 0,1-37 0,-1-1 0,0 1 0,0 0 0,0 0 0,-1-1 0,0 1 0,0-1 0,0 0 0,-1 1 0,1-1 0,-2 0 0,1 0 0,0-1 0,-1 1 0,0-1 0,-5 5 0,-3 0 0,-1 0 0,-1-1 0,0 0 0,0-1 0,0-1 0,-1 0 0,0-1 0,0-1 0,0 0 0,-32 3 0,-10-2 0,-95-5 0,120-1 0,-1 3 0,22 2 0,11-4 0,0 1 0,0-1 0,0 0 0,0 1 0,0-1 0,0 0 0,0 1 0,0-1 0,0 0 0,0 1 0,0-1 0,1 0 0,-1 0 0,0 1 0,0-1 0,0 0 0,1 0 0,-1 1 0,0-1 0,0 0 0,1 0 0,-1 1 0,0-1 0,1 0 0,-1 0 0,0 0 0,0 0 0,1 0 0,-1 1 0,0-1 0,1 0 0,-1 0 0,0 0 0,1 0 0,11 4 0,-1 0 0,0-1 0,1 0 0,13 1 0,29 8 0,-29-3 14,0 1-1,-1 1 0,0 1 0,-1 1 1,0 2-1,-1 0 0,-1 1 1,26 26-1,-10-5-384,-1 1-1,-3 2 1,37 57 0,-46-60-6455</inkml:trace>
  <inkml:trace contextRef="#ctx0" brushRef="#br0" timeOffset="1246.19">890 677 24575,'-3'0'0,"1"0"0,0 1 0,0-1 0,0 0 0,-1 1 0,1-1 0,0 1 0,0 0 0,0-1 0,0 1 0,0 0 0,0 0 0,0 1 0,1-1 0,-1 0 0,0 0 0,1 1 0,-3 2 0,1-1 0,1 1 0,0-1 0,-1 1 0,1 0 0,1 0 0,-1 0 0,1 0 0,-1 0 0,0 4 0,-1 11 0,1 0 0,1 1 0,1 27 0,0-30 0,0-11 0,0-1 0,0 0 0,1 0 0,0 1 0,0-1 0,0 0 0,0 0 0,1 0 0,0 0 0,0 0 0,3 5 0,-3-8 0,0 1 0,0-1 0,0 0 0,0 0 0,0 0 0,0-1 0,0 1 0,0 0 0,1-1 0,-1 1 0,1-1 0,-1 0 0,1 0 0,0 0 0,-1 0 0,1 0 0,0-1 0,0 1 0,0-1 0,-1 0 0,1 0 0,4 0 0,-2 0 0,0-1 0,0 0 0,0 0 0,0 0 0,0 0 0,0-1 0,-1 0 0,1 0 0,-1 0 0,1 0 0,-1-1 0,0 0 0,0 1 0,0-2 0,0 1 0,0 0 0,5-8 0,-5 6 0,0-1 0,0 0 0,-1 1 0,1-1 0,-1-1 0,-1 1 0,1 0 0,-1-1 0,0 1 0,-1-1 0,0 0 0,1-10 0,-2 13 0,0 0 0,-1 1 0,1-1 0,-1 1 0,0-1 0,0 1 0,-1-1 0,1 1 0,0 0 0,-1 0 0,0 0 0,0 0 0,0 0 0,0 0 0,0 0 0,-1 0 0,1 1 0,-1-1 0,0 1 0,0 0 0,0 0 0,0 0 0,0 0 0,-4-1 0,-8-5 0,0 2 0,0 0 0,-31-7 0,-83-23-1365,95 26-5461</inkml:trace>
  <inkml:trace contextRef="#ctx0" brushRef="#br0" timeOffset="3582.47">1144 254 24575,'-5'14'0,"1"0"0,0 0 0,1 0 0,1 0 0,0 0 0,1 0 0,1 1 0,0-1 0,1 1 0,4 21 0,0-19 0,2 0 0,-1 0 0,2-1 0,0 0 0,1 0 0,1-1 0,19 24 0,21 35 0,49 100 0,-99-173 0,0 0 0,0 0 0,1 0 0,-1-1 0,0 1 0,1 0 0,-1 0 0,1 0 0,-1-1 0,1 1 0,-1 0 0,1-1 0,0 1 0,-1-1 0,1 1 0,0-1 0,-1 1 0,1-1 0,0 1 0,0-1 0,-1 1 0,1-1 0,0 0 0,0 0 0,0 1 0,-1-1 0,1 0 0,0 0 0,0 0 0,0 0 0,0 0 0,0 0 0,-1 0 0,1 0 0,0 0 0,0-1 0,0 1 0,0 0 0,-1 0 0,1-1 0,0 1 0,0 0 0,0-1 0,-1 1 0,1-1 0,0 1 0,-1-1 0,1 0 0,0 1 0,-1-1 0,1 0 0,3-4 0,-1 0 0,0 0 0,0 0 0,0 0 0,-1 0 0,4-11 0,20-83 0,27-191 0,-53 288 0,0 1 0,0-1 0,0 0 0,0 1 0,1-1 0,-1 1 0,1-1 0,-1 0 0,1 1 0,-1-1 0,1 1 0,0-1 0,0 1 0,0-1 0,0 1 0,0 0 0,1-2 0,-1 3 0,-1 0 0,1 0 0,0 0 0,-1 0 0,1 0 0,0 0 0,-1 0 0,1 0 0,0 0 0,-1 0 0,1 0 0,0 1 0,-1-1 0,1 0 0,-1 1 0,1-1 0,-1 0 0,1 1 0,0-1 0,-1 0 0,1 1 0,-1-1 0,0 1 0,1-1 0,-1 1 0,1-1 0,0 2 0,4 6 0,0 0 0,0 0 0,0 1 0,4 12 0,45 135 0,-47-129 0,-1 0 0,-1 1 0,2 53 0,-7-52 0,4-19 0,2-13 0,9-19 0,-12 17 0,21-39 0,-3-2 0,22-63 0,-26 62 0,2 1 0,42-76 0,-55 113-151,-1-1-1,0 0 0,0 0 0,-1-1 1,-1 1-1,0-1 0,0 0 1,1-17-1,-2-1-6674</inkml:trace>
  <inkml:trace contextRef="#ctx0" brushRef="#br0" timeOffset="5050.96">2986 105 24575,'-1'-2'0,"0"0"0,0 0 0,0 0 0,0 0 0,0 0 0,0 0 0,0 0 0,-1 0 0,1 0 0,0 1 0,-1-1 0,0 1 0,1-1 0,-1 1 0,0-1 0,0 1 0,-3-2 0,-35-20 0,39 23 0,-12-6 0,-1 1 0,0 0 0,0 1 0,-1 1 0,1 0 0,-27-2 0,6 4 0,-60 5 0,88-4 0,1 1 0,0 0 0,-1 1 0,1 0 0,0 0 0,0 0 0,0 1 0,0-1 0,0 1 0,1 1 0,-1-1 0,1 1 0,0 0 0,0 0 0,0 1 0,1-1 0,-1 1 0,-4 7 0,7-8 0,-1 0 0,1 0 0,0 0 0,0 0 0,1 1 0,-1-1 0,1 1 0,0-1 0,0 1 0,0-1 0,1 1 0,0 0 0,0-1 0,0 1 0,0 0 0,1-1 0,-1 1 0,1-1 0,1 1 0,-1-1 0,1 1 0,-1-1 0,1 0 0,0 1 0,4 5 0,23 30 0,2 0 0,49 48 0,33 42 0,-107-122 0,-1 0 0,0 1 0,-1 0 0,0 0 0,0 0 0,-1 0 0,0 1 0,-1 0 0,2 18 0,-2-9 0,-1 0 0,-1-1 0,-1 1 0,-4 23 0,4-38 0,-1 0 0,1 0 0,0 0 0,-1 0 0,0 0 0,0-1 0,0 1 0,0-1 0,-1 1 0,1-1 0,-1 0 0,0 0 0,0 0 0,0-1 0,0 1 0,0 0 0,-1-1 0,1 0 0,-1 0 0,0 0 0,1-1 0,-1 1 0,0-1 0,0 0 0,0 0 0,-8 1 0,-9 2 0,-1-2 0,0 0 0,-37-3 0,57 1 0,-8 0 0,-110-9 0,110 8 0,0-1 0,1 0 0,-1-1 0,0 0 0,1 0 0,0-1 0,0 0 0,0-1 0,-14-9 0,4-7-1365,9-1-5461</inkml:trace>
  <inkml:trace contextRef="#ctx0" brushRef="#br0" timeOffset="6504.43">3176 127 24575,'-2'1'0,"0"-1"0,0 0 0,1 1 0,-1-1 0,0 1 0,1 0 0,-1 0 0,0-1 0,1 1 0,-1 0 0,1 0 0,0 1 0,-1-1 0,1 0 0,0 0 0,-1 1 0,1-1 0,0 0 0,0 1 0,0-1 0,1 1 0,-1 0 0,0-1 0,0 1 0,1 0 0,-1-1 0,1 1 0,0 0 0,-1 0 0,1 1 0,-2 11 0,0 0 0,0 25 0,1-27 0,0 9 0,-1 13 0,2 1 0,6 63 0,-5-94 0,0 0 0,0 0 0,0 0 0,0 0 0,1-1 0,-1 1 0,1-1 0,0 1 0,0-1 0,0 1 0,1-1 0,-1 0 0,1 0 0,-1 0 0,1-1 0,0 1 0,0-1 0,1 1 0,-1-1 0,0 0 0,1 0 0,6 2 0,-5-2 0,0-1 0,0 0 0,0 0 0,1 0 0,-1-1 0,0 1 0,0-1 0,0-1 0,0 1 0,0-1 0,0 0 0,0 0 0,0 0 0,0-1 0,0 0 0,8-4 0,9-8 0,0-2 0,-1 0 0,-1-1 0,-1-2 0,23-26 0,-24 26 0,-2 0 0,0 0 0,-2-2 0,0 0 0,-1 0 0,-1-1 0,-1-1 0,-2 0 0,0 0 0,-1-1 0,9-46 0,-16 64 0,9-29 0,-10 34 0,1-1 0,-1 0 0,1 1 0,0-1 0,0 0 0,0 1 0,0-1 0,0 1 0,0-1 0,0 1 0,0 0 0,1-1 0,-1 1 0,1 0 0,1-1 0,-2 2 0,0 0 0,-1 0 0,1 0 0,-1 0 0,1 0 0,0 0 0,-1 0 0,1 0 0,-1 1 0,1-1 0,-1 0 0,1 0 0,-1 1 0,1-1 0,-1 0 0,1 1 0,-1-1 0,1 0 0,-1 1 0,1-1 0,-1 1 0,0-1 0,1 1 0,-1-1 0,0 1 0,1-1 0,-1 1 0,0-1 0,0 1 0,1-1 0,-1 1 0,0 0 0,0-1 0,0 1 0,0-1 0,0 1 0,0 0 0,0 0 0,4 29 0,-4-28 0,4 334 0,-7-174 0,3-155-195,0 0 0,1 0 0,-1 0 0,1 0 0,1-1 0,2 10 0,5 3-6631</inkml:trace>
  <inkml:trace contextRef="#ctx0" brushRef="#br0" timeOffset="9098.25">4044 105 24575,'-7'10'0,"0"0"0,1 0 0,1 0 0,-1 1 0,2-1 0,0 1 0,0 0 0,-2 14 0,0-7 0,-3 15 0,2 1 0,1-1 0,-3 58 0,9 102 0,1-136 0,-2-136 0,4 0 0,3 0 0,3 0 0,23-87 0,-31 160 0,1 1 0,-1 0 0,1 0 0,0 0 0,0 0 0,1 0 0,0 0 0,-1 1 0,2 0 0,-1-1 0,0 1 0,1 0 0,0 0 0,0 1 0,8-7 0,-7 8 0,0-1 0,1 1 0,-1 0 0,1 1 0,0-1 0,-1 1 0,1 0 0,0 1 0,0-1 0,-1 1 0,1 0 0,0 1 0,0-1 0,8 3 0,-10-2 0,1 0 0,-1 1 0,1-1 0,-1 1 0,1 0 0,-1 1 0,0-1 0,0 1 0,0 0 0,0 0 0,-1 0 0,1 0 0,-1 1 0,0-1 0,0 1 0,0 0 0,0 0 0,-1 0 0,1 0 0,-1 0 0,2 6 0,3 10 0,0 0 0,-1 1 0,5 29 0,-10-42 0,7 51 0,-3 0 0,-5 118 0,-1-101 0,12-137 0,15-84 0,-21 50 0,-5 65 0,1 0 0,2 0 0,7-37 0,-7 58 0,0 0 0,0 0 0,0 0 0,1 0 0,1 0 0,-1 1 0,1 0 0,1 0 0,-1 0 0,1 1 0,1 0 0,0 0 0,0 0 0,10-7 0,-4 4 0,0 1 0,1 1 0,0 0 0,0 1 0,1 0 0,0 2 0,0-1 0,0 2 0,25-5 0,-37 9 0,0 0 0,0 0 0,-1 1 0,1-1 0,0 0 0,0 1 0,-1 0 0,1 0 0,0 0 0,-1 0 0,1 0 0,-1 0 0,1 1 0,-1-1 0,1 1 0,-1-1 0,0 1 0,0 0 0,0 0 0,0 0 0,0 0 0,-1 1 0,1-1 0,0 0 0,-1 1 0,0-1 0,1 1 0,-1-1 0,0 1 0,-1 0 0,1-1 0,1 6 0,1 10 0,-1-1 0,0 0 0,-1 1 0,-1 20 0,-1-23 0,-4 391-1365,5-377-5461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6:01.4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0 24575,'-1'7'0,"1"4"0,0-1 0,0 1 0,1 0 0,0-1 0,0 1 0,2 0 0,-1-1 0,1 0 0,7 16 0,20 24 0,1-1 0,3-1 0,51 54 0,-10-11 0,-30-35 0,-15-22 0,-3 1 0,0 2 0,-3 0 0,-1 1 0,20 47 0,-26-43 0,-1 0 0,-3 1 0,-2 1 0,-1 0 0,5 61 0,-5-37 0,-21-164 0,9 64 0,-2 0 0,-11-47 0,12 68 0,-1-1 0,-1 1 0,1 0 0,-2 1 0,1-1 0,-2 1 0,1 0 0,-1 0 0,-1 1 0,-13-13 0,8 9 0,-1 1 0,0 1 0,-1 1 0,0 0 0,-1 0 0,-25-10 0,39 21 0,6 6 0,11 12 0,-9-12 0,30 42 0,34 64 0,25 34 0,-94-145 0,0 0 0,0 0 0,1-1 0,-1 1 0,0-1 0,1 1 0,-1-1 0,1 0 0,-1 0 0,1 1 0,0-1 0,0 0 0,-1-1 0,1 1 0,0 0 0,0 0 0,0-1 0,2 1 0,-3-1 0,0 0 0,0 0 0,1-1 0,-1 1 0,0 0 0,0-1 0,0 1 0,0-1 0,0 1 0,1-1 0,-1 0 0,0 1 0,-1-1 0,1 0 0,0 0 0,0 0 0,0 0 0,0 1 0,-1-1 0,1 0 0,1-2 0,2-5 0,-1 0 0,0 0 0,0 0 0,0 0 0,-1 0 0,2-16 0,6-54 0,16-90 0,-19 141 0,0-1 0,2 1 0,1 0 0,14-26 0,-9 25-341,1 2 0,1 0-1,23-27 1,-25 34-6485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6:02.9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24575,'10'1'0,"0"0"0,-1 0 0,1 1 0,0 1 0,0-1 0,-1 1 0,1 1 0,-1 0 0,0 0 0,10 7 0,11 8 0,40 36 0,-51-40 0,409 331 0,-408-330 0,0 2 0,32 38 0,-45-47 0,0 0 0,-1 0 0,-1 1 0,1 0 0,-1 0 0,-1 0 0,0 1 0,-1 0 0,3 13 0,1 4 0,2 0 0,1 0 0,25 50 0,11 31 0,-35-69 0,-1 1 0,-2-1 0,-1 2 0,0 43 0,-8 168 0,-2-135 0,4-57-52,-1-22-605,-6 72 1,1-88-6170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6:16:04.9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154 0 24575,'-5'6'0,"1"0"0,-1 0 0,2 0 0,-7 14 0,-4 5 0,3-3 0,1 0 0,1 1 0,0 0 0,-8 42 0,7-27 0,-1 10 0,2 1 0,-3 60 0,8-69 0,-5 399 0,12-264 0,-5-99 0,0-26 0,5 62 0,-1-97 0,0 0 0,1 0 0,0-1 0,1 1 0,1-1 0,0 0 0,1 0 0,13 21 0,13 9 0,2-1 0,2-1 0,57 50 0,-12-12 0,-70-70 0,0 0 0,1-1 0,0 0 0,1-1 0,-1-1 0,1 0 0,1 0 0,-1-1 0,23 6 0,13 0 0,72 11 0,-46-11 0,6 2 0,87 21 0,-110-21-1365,-33-10-5461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8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988 4351 24575,'-49'-48'0,"27"25"0,-2 0 0,0 2 0,-50-34 0,47 39 0,0-3 0,2 0 0,0-1 0,-25-25 0,-12-12 0,47 46 0,1-1 0,1-1 0,0 0 0,1-1 0,1 0 0,0 0 0,0-2 0,2 1 0,-14-28 0,-11-54 0,16 44 0,-45-96 0,31 84 0,4-1 0,-21-72 0,12 31 0,23 61 0,3-1 0,1-1 0,2 0 0,-1-74 0,4 54 0,-18-91 0,1 67 0,5 23 0,2-2 0,4 1 0,-4-103 0,2-88 0,1-102 0,12 297 0,2 40 0,0 1 0,2-2 0,1 1 0,1 1 0,1 0 0,1 0 0,1 1 0,1 0 0,23-38 0,-16 35 0,0 1 0,1 1 0,2 1 0,0 0 0,2 1 0,0 1 0,46-34 0,347-215 0,-281 192 0,-87 52 0,-2 0 0,57-44 0,-87 60 0,1 0 0,28-14 0,-28 17 0,-1-1 0,1 0 0,18-16 0,-14 8 0,2 0 0,0 2 0,1 1 0,0 1 0,38-16 0,128-35 0,-79 28 0,-106 35 0,30-15 0,-29 5 0,-19-2 0,-13 1 0,0 2 0,0 0 0,0 2 0,-39-7 0,2 1 0,8-1 0,-106-24 0,148 36 0,24 2 0,32 6 0,-26-3 0,809 111 0,-775-110 0,-31-2 0,0 0 0,1 2 0,-1 0 0,24 7 0,-42-10 0,0 0 0,-1 0 0,1 0 0,0 1 0,-1-1 0,1 0 0,0 0 0,-1 1 0,1-1 0,0 0 0,-1 1 0,1-1 0,-1 0 0,1 1 0,0-1 0,-1 1 0,1-1 0,-1 1 0,0 0 0,1-1 0,-1 1 0,1-1 0,-1 1 0,0 0 0,1-1 0,-1 1 0,0 0 0,0-1 0,0 1 0,1 1 0,-16 13 0,-29 4 0,10-7 0,1 0 0,1 2 0,-46 26 0,68-34 0,1 0 0,-1 1 0,1 0 0,1 0 0,0 1 0,0 0 0,1 0 0,0 1 0,0 0 0,1 0 0,0 1 0,1 0 0,0 0 0,1 0 0,-4 12 0,-14 78 36,18-72-386,-2-1 0,0 1-1,-20 48 1,11-47-6476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1 461 24575,'0'0'0,"0"1"0,0-1 0,0 0 0,0 1 0,0-1 0,0 1 0,0-1 0,0 1 0,0-1 0,0 1 0,0-1 0,0 0 0,1 1 0,-1-1 0,0 1 0,0-1 0,0 0 0,1 1 0,-1-1 0,0 0 0,1 1 0,-1-1 0,0 0 0,1 1 0,-1-1 0,0 0 0,1 0 0,-1 1 0,0-1 0,1 0 0,-1 0 0,1 0 0,-1 0 0,1 0 0,-1 1 0,0-1 0,1 0 0,-1 0 0,1 0 0,-1 0 0,1 0 0,-1 0 0,1 0 0,-1-1 0,0 1 0,1 0 0,-1 0 0,1 0 0,-1 0 0,0 0 0,1-1 0,-1 1 0,1 0 0,-1 0 0,0-1 0,1 1 0,-1 0 0,0-1 0,1 1 0,-1 0 0,0-1 0,26-20 0,-24 19 0,18-16 0,-2 1 0,0-2 0,-1 0 0,-1-1 0,-1-2 0,0 0 0,18-37 0,-22 33 0,-6 13 0,0 1 0,1-1 0,0 2 0,14-23 0,-18 31 0,1 1 0,-1-2 0,1 2 0,0-1 0,0 1 0,0 0 0,0 0 0,0 0 0,1 0 0,-1 1 0,0-1 0,1 1 0,-1 0 0,1 0 0,0 0 0,-1 1 0,1-1 0,0 1 0,-1 0 0,1 0 0,0 0 0,3 1 0,2 0 0,0 1 0,-1 0 0,1 0 0,-1 1 0,1 0 0,-1 1 0,0 0 0,0 1 0,-1-1 0,1 1 0,-1 0 0,0 1 0,7 8 0,6 7 0,-1 2 0,28 43 0,-33-43 0,2 0 0,0-1 0,23 20 0,-32-36 0,1 1 0,0-2 0,0 0 0,0 0 0,1-1 0,0 0 0,0-1 0,0 1 0,0-1 0,0-1 0,0 0 0,17 1 0,11-2 0,74-5 0,-37-1 0,73 6 0,83-3 0,-212-2 0,1 1 0,-1-1 0,0-1 0,0-1 0,0 0 0,-1-2 0,24-13 0,-12 3 0,-1-1 0,-1 0 0,32-31 0,-44 33 0,0-1 0,-1-1 0,-1 0 0,0-1 0,-3-1 0,1 1 0,14-44 0,-5 20 0,-20 42 0,1 0 0,0 0 0,0 0 0,-1 0 0,1 0 0,1 0 0,-1 0 0,0 0 0,0 1 0,0-1 0,1 1 0,-1-1 0,1 1 0,2-2 0,-4 3 0,1 0 0,-1 1 0,1-1 0,-1 0 0,1 0 0,-1 0 0,0 1 0,1-1 0,-1 0 0,1 1 0,-1-1 0,1 0 0,-1 1 0,0-1 0,1 1 0,-1-1 0,0 0 0,0 1 0,1-1 0,-1 1 0,0-1 0,0 1 0,1-1 0,-1 1 0,0-1 0,0 1 0,0-1 0,0 1 0,0-1 0,0 1 0,0 0 0,4 66 0,-4-64 0,1 16 0,1 1 0,1 0 0,1-1 0,1 0 0,0 1 0,2-2 0,0 1 0,0-1 0,13 20 0,-12-22 0,-4-8 0,0-2 0,0 0 0,0 0 0,1-1 0,0 2 0,1-2 0,-1 0 0,1 0 0,0 0 0,0 0 0,0-1 0,1-1 0,-1 1 0,1-1 0,0 0 0,0-1 0,0 1 0,0-1 0,9 1 0,17 3 0,1-2 0,67-1 0,-65-3 0,615-2 0,-210-2 0,-375 5 0,160-6 0,-189 0 0,0 0 0,-1-1 0,1-3 0,36-14 0,-41 12 0,8-6 0,1 3 0,1 1 0,0 2 0,0 1 0,53-2 0,-54 8 0,-2-2 0,1-2 0,42-13 0,-40 8 0,1 3 0,71-8 0,-77 16 0,97-2 0,-123 5 0,1 0 0,-1 0 0,1 1 0,-1 0 0,0 1 0,0 2 0,0-1 0,0 0 0,10 6 0,-15-6 0,-1 0 0,0 1 0,0-1 0,0 1 0,0 0 0,-1 0 0,0 0 0,0 1 0,0 0 0,0-1 0,-1 1 0,0 0 0,0 1 0,2 8 0,0 6 0,0 1 0,-1-2 0,1 25 0,-2-19 0,0-19-1365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3432 414 24575,'-3'-5'0,"-1"1"0,0-1 0,0 1 0,0 0 0,-1 1 0,1 0 0,-1-1 0,0 1 0,-8-4 0,-2-2 0,-21-11 0,-2 3 0,-1 0 0,0 3 0,-80-19 0,16 3 0,2 3 0,-1 3 0,0 5 0,-176-11 0,-320 23 0,348 10 0,99-5 0,-167 4 0,275 4 0,0 1 0,1 2 0,1 0 0,-70 30 0,53-20 0,-91 22 0,75-30 0,-80 0 0,-51 7 0,199-17 0,-2 0 0,2 1 0,-1 0 0,1 0 0,0 1 0,-1 0 0,1 0 0,-10 7 0,13-8 0,1 0 0,0-1 0,-1 1 0,1 0 0,0 1 0,0-1 0,0 1 0,1-1 0,-1 1 0,0-1 0,1 1 0,0 0 0,0 0 0,0 0 0,0 0 0,0 0 0,0 0 0,1 0 0,0 0 0,-1 0 0,1 4 0,0-6 0,0 0 0,0 1 0,0-2 0,0 1 0,0 1 0,1-1 0,-1 0 0,0 1 0,1-1 0,-1 0 0,1 0 0,-1 1 0,1-1 0,-1 0 0,1 0 0,0 0 0,0 0 0,-1 0 0,1 0 0,0 0 0,0 0 0,0 0 0,0 0 0,0 0 0,1-1 0,1 2 0,-1-2 0,0 1 0,1-1 0,-1 0 0,0 0 0,1 0 0,-1 0 0,0 0 0,1 0 0,-1-1 0,0 1 0,1-1 0,-1 1 0,4-3 0,4-1 0,-1-1 0,0 0 0,2-1 0,-3 1 0,13-11 0,-10 6 0,-1-1 0,0 1 0,0-1 0,-1 0 0,-1-1 0,0-1 0,1 0 0,-2 1 0,-1-1 0,0-1 0,-1 1 0,-1-1 0,0 0 0,0 0 0,-2-1 0,0 1 0,0 0 0,-2-20 0,1 19 0,-2-40 0,1 53 0,0 0 0,0 0 0,-1 0 0,1 1 0,0-1 0,-1 0 0,1 0 0,-1 0 0,1 0 0,-1 1 0,0-1 0,0 0 0,0 0 0,0 1 0,0-1 0,-1 0 0,1 1 0,0-1 0,-1 1 0,-1-2 0,1 3 0,0 0 0,0 0 0,0 0 0,0 0 0,1 0 0,-1 1 0,0-1 0,0 1 0,1-1 0,-1 1 0,0 0 0,1 0 0,-1 0 0,-1 0 0,2 0 0,0 0 0,-1 0 0,1 0 0,-1 0 0,1 1 0,0-1 0,0 0 0,0 1 0,0-1 0,-1 3 0,-25 40 0,-1 28 0,18-45 0,-25 50 0,-6-1 0,3 1 0,-29 87 0,66-162 0,0 0 0,0 1 0,1-2 0,-1 2 0,1-1 0,-1 1 0,1-1 0,0 1 0,-1-1 0,1 1 0,1-1 0,-1 1 0,0-1 0,1 1 0,-1-1 0,1 1 0,-1-1 0,3 4 0,-1-3 0,1-1 0,-1 0 0,0 0 0,1 1 0,0-2 0,0 1 0,-1 0 0,1-1 0,0 0 0,0 0 0,0 0 0,1 0 0,-1 0 0,0 0 0,6 0 0,68 10 0,1-3 0,0-4 0,88-5 0,-69-1 0,618-4-1365,-691 6-5461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24301,'1112'0'0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218 1 24575,'9'4'0,"7"7"0,11 5 0,0 9 0,-9 1 0,-12-5 0,-12 4 0,-13-3 0,-8-5 0,-5-6 0,0-4 0,-5 1 0,-4 4 0,0-1 0,7 3 0,5 3 0,7-1-8191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597 0 24575,'-10'0'0,"1"1"0,0 0 0,0 0 0,0 1 0,0 0 0,0 1 0,1-1 0,-1 2 0,1-1 0,-1 1 0,1 1 0,-8 4 0,6 0 0,-1-1 0,1 2 0,0-1 0,1 1 0,0 1 0,0-1 0,-8 16 0,-3 10 0,2 1 0,1 1 0,3 0 0,-15 56 0,22-57 0,1 1 0,2 0 0,2 1 0,1-1 0,5 42 0,-2 6 0,-2-73 0,5 115 0,-3-109 0,1-1 0,1 1 0,0-1 0,13 33 0,-2-18 0,-3 1 0,0 0 0,-3 1 0,0 0 0,-3 0 0,0 1 0,0 69 0,-10 135 0,3-234 0,1 0 0,-1 0 0,0-1 0,-1 1 0,1-1 0,-4 7 0,5-11 0,0 0 0,-1 0 0,1 0 0,0 0 0,-1-1 0,1 1 0,-1 0 0,1 0 0,-1 0 0,0-1 0,1 1 0,-1 0 0,0-1 0,0 1 0,1 0 0,-1-1 0,0 1 0,0-1 0,0 1 0,0-1 0,0 0 0,0 1 0,0-1 0,1 0 0,-1 1 0,0-1 0,0 0 0,0 0 0,0 0 0,0 0 0,0 0 0,0 0 0,0 0 0,0-1 0,0 1 0,0 0 0,0 0 0,0-1 0,0 1 0,0-1 0,0 1 0,0-1 0,-1 0 0,-6-5 0,1 0 0,-1 0 0,1 0 0,0-1 0,1 0 0,0-1 0,-7-9 0,-34-64 0,5 7 0,27 53 0,-31-33 0,40 47 0,0 1 0,0 1 0,0-1 0,-1 1 0,0 0 0,0 1 0,0 0 0,-1 0 0,-8-3 0,15 6 0,0 1 0,0 0 0,0 0 0,-1 0 0,1-1 0,0 1 0,0 0 0,0 0 0,0 0 0,0 1 0,0-1 0,0 0 0,0 0 0,0 1 0,0-1 0,0 0 0,0 1 0,0-1 0,0 1 0,0-1 0,1 1 0,-1-1 0,-1 2 0,0 0 0,0 0 0,1 0 0,-1 0 0,1 1 0,0-1 0,0 0 0,-1 0 0,1 1 0,0 3 0,-2 4 0,1 1 0,0-1 0,0 20 0,2-19 0,1 1 0,0 0 0,1-1 0,0 1 0,1-1 0,0 0 0,0 1 0,2-2 0,-1 1 0,8 12 0,9 11 0,41 53 0,-11-18 0,-45-59 0,1 1 0,1 0 0,0 0 0,0-1 0,1 0 0,16 14 0,-23-22 0,0-1 0,1 1 0,-1-1 0,1 1 0,-1-1 0,1 0 0,0 0 0,-1 0 0,1 0 0,0-1 0,0 1 0,0-1 0,-1 1 0,1-1 0,0 0 0,0 0 0,0 0 0,0-1 0,-1 1 0,1-1 0,0 1 0,0-1 0,-1 0 0,1 0 0,0 0 0,-1-1 0,1 1 0,-1-1 0,1 1 0,-1-1 0,0 0 0,3-2 0,0-1 0,-1 0 0,1 0 0,-1 0 0,0-1 0,0 1 0,3-8 0,13-16 0,54-55 79,20-28-1523,-79 90-5382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1277 24575,'1'-2'0,"0"0"0,0 0 0,1 0 0,-1 0 0,1 0 0,0 0 0,-1 0 0,1 0 0,0 1 0,0-1 0,0 1 0,0-1 0,0 1 0,1 0 0,-1 0 0,4-1 0,19-11 0,1 1 0,1 1 0,0 2 0,0 1 0,0 1 0,56-7 0,-79 14 0,-1-1 0,0 1 0,1 1 0,-1-1 0,1 0 0,-1 1 0,0-1 0,1 1 0,-1 0 0,0 0 0,0 1 0,0-1 0,0 0 0,0 1 0,0 0 0,0 0 0,0 0 0,-1 0 0,1 0 0,-1 1 0,1-1 0,-1 1 0,0-1 0,0 1 0,0 0 0,0 0 0,-1 0 0,1 0 0,-1 0 0,0 0 0,0 0 0,0 1 0,0-1 0,0 0 0,-1 1 0,0-1 0,1 0 0,-2 7 0,1-3 0,0-1 0,-1 1 0,0-1 0,0 1 0,-1-1 0,1 0 0,-2 1 0,1-1 0,0 0 0,-1 0 0,0-1 0,-1 1 0,1-1 0,-1 1 0,0-1 0,-1 0 0,1 0 0,-1-1 0,-9 7 0,1-4 0,0-1 0,-1-1 0,0 0 0,0-1 0,-1 0 0,-18 2 0,-28 8 0,48-11 0,8-2 0,-1 0 0,1 0 0,0 1 0,1 0 0,-1 0 0,0 0 0,0 0 0,1 1 0,-1-1 0,-3 4 0,8-5 0,0-1 0,0 0 0,0 1 0,0-1 0,0 0 0,1 1 0,-1-1 0,0 0 0,0 1 0,0-1 0,0 0 0,1 0 0,-1 1 0,0-1 0,0 0 0,1 0 0,-1 1 0,0-1 0,1 0 0,-1 0 0,0 0 0,0 0 0,1 0 0,-1 1 0,0-1 0,1 0 0,-1 0 0,0 0 0,1 0 0,-1 0 0,0 0 0,1 0 0,-1 0 0,0 0 0,1 0 0,0 0 0,17 2 0,62-1 0,0-3 0,91-15 0,28-2 0,-190 19 0,1-1 0,-1 1 0,0 1 0,0 0 0,11 2 0,-18-3 0,0 1 0,0 0 0,0 0 0,0-1 0,-1 1 0,1 0 0,0 0 0,0 1 0,-1-1 0,1 0 0,-1 1 0,1-1 0,-1 1 0,1-1 0,-1 1 0,0-1 0,0 1 0,0 0 0,0 0 0,0 0 0,0 0 0,0-1 0,-1 1 0,1 0 0,-1 0 0,1 0 0,-1 4 0,1 1 0,-1 0 0,0 0 0,0 0 0,0 0 0,-1 0 0,0 0 0,0-1 0,-1 1 0,0 0 0,0 0 0,-1-1 0,1 1 0,-6 8 0,2-7 0,0 1 0,0-1 0,-1-1 0,0 1 0,-1-1 0,1 0 0,-1-1 0,-13 8 0,-1-1 0,-1-1 0,0-1 0,-1-2 0,0 0 0,-1-1 0,-40 7 0,15-8-455,0-3 0,-66-1 0,74-3-6371</inkml:trace>
  <inkml:trace contextRef="#ctx0" brushRef="#br0" timeOffset="1">1504 790 24575,'-1'-1'0,"0"-1"0,0 0 0,0 1 0,0-1 0,-1 1 0,1-1 0,0 1 0,-1-1 0,1 1 0,-1 0 0,1 0 0,-1 0 0,1 0 0,-1 0 0,0 0 0,1 0 0,-1 0 0,-4 0 0,6 1 0,-23-8 0,0 0 0,-1 2 0,0 1 0,-33-2 0,-12-3 0,-6-5 0,0 4 0,-137-2 0,204 13 0,0 1 0,-1 0 0,1 0 0,0 1 0,-1 0 0,1 0 0,0 1 0,1 0 0,-1 0 0,0 1 0,1 0 0,0 0 0,0 1 0,0 0 0,1 0 0,-11 11 0,9-6 0,0 0 0,0 1 0,1 0 0,1 0 0,0 1 0,0-1 0,1 2 0,1-1 0,0 0 0,-3 14 0,-6 26 0,4-19 0,-8 64 0,16-86 0,1 0 0,0 0 0,0 1 0,1-1 0,0 0 0,1 0 0,1 0 0,0 0 0,7 18 0,-1-9 0,1-1 0,0 0 0,2-1 0,0 0 0,1-1 0,1-1 0,0 0 0,31 26 0,-32-31 0,1-1 0,1 0 0,0-2 0,0 1 0,1-2 0,0 0 0,0-1 0,1-1 0,-1 0 0,1-1 0,24 2 0,35-2 19,81-5 0,-54-2-1422,-77 3-5423</inkml:trace>
  <inkml:trace contextRef="#ctx0" brushRef="#br0" timeOffset="2">1546 176 24575,'-3'-5'0,"0"-1"0,1 1 0,0-1 0,0 0 0,0 0 0,1 0 0,0 0 0,0 0 0,1 0 0,-1 0 0,2 0 0,-1 0 0,0-1 0,3-8 0,-2 11 0,0 1 0,1-1 0,-1 0 0,1 1 0,0-1 0,0 1 0,0 0 0,1 0 0,-1 0 0,1 0 0,0 0 0,0 0 0,0 1 0,0-1 0,0 1 0,0 0 0,1 0 0,-1 0 0,1 0 0,-1 0 0,1 1 0,7-2 0,3-1 0,0 1 0,0 0 0,1 2 0,-1-1 0,1 2 0,18 1 0,-29-1 0,0 0 0,-1 0 0,1 1 0,-1-1 0,1 1 0,-1 0 0,1 0 0,-1 1 0,1-1 0,-1 1 0,0-1 0,0 1 0,0 0 0,0 0 0,0 1 0,0-1 0,-1 1 0,1-1 0,-1 1 0,1 0 0,-1 0 0,0 0 0,0 0 0,0 0 0,-1 0 0,1 1 0,-1-1 0,0 0 0,0 1 0,1 5 0,1 11 0,-1-1 0,-1 1 0,-1 0 0,-1 0 0,0 0 0,-6 24 0,4-32 0,0 0 0,-1 0 0,0 0 0,-1 0 0,0-1 0,0 0 0,-2 0 0,1 0 0,-2-1 0,1 0 0,-10 10 0,-11 7 0,-2-1 0,0-1 0,-39 24 0,58-42 0,0 1 0,0 0 0,0 0 0,1 1 0,0 1 0,-13 16 0,22-26 0,1 1 0,0-1 0,0 0 0,-1 0 0,1 0 0,0 1 0,-1-1 0,1 0 0,0 0 0,0 1 0,0-1 0,-1 0 0,1 1 0,0-1 0,0 0 0,0 1 0,-1-1 0,1 0 0,0 1 0,0-1 0,0 0 0,0 1 0,0-1 0,0 0 0,0 1 0,0-1 0,0 0 0,0 1 0,0-1 0,0 0 0,0 1 0,0-1 0,0 0 0,0 1 0,1-1 0,-1 0 0,0 1 0,0-1 0,0 0 0,1 1 0,-1-1 0,0 0 0,0 0 0,0 1 0,1-1 0,-1 0 0,0 0 0,1 1 0,-1-1 0,1 0 0,20 0 0,-14-1 0,625-17-1365,-587 18-5461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2853 317 24575,'-362'-24'0,"259"14"0,-84-11 0,65 6 0,-152 0 0,256 15 0,-47 1 0,1-2 0,-74-11 0,103 9 0,-1 1 0,1 2 0,-1 1 0,-38 7 0,-47 1 0,-486-26 0,535 13 0,-1 4 0,-113 12 0,182-11 0,-37 1 0,40-2 0,1 0 0,-1 0 0,1-1 0,-1 1 0,0 0 0,1 0 0,-1 0 0,1-1 0,-1 1 0,1 0 0,-1 0 0,1-1 0,-1 1 0,1 0 0,0-1 0,-1 1 0,1-1 0,-1 1 0,1-1 0,0 1 0,-1 0 0,1-1 0,-1 0 0,1 0 0,0 0 0,0 0 0,0 0 0,0 0 0,1 0 0,-1 0 0,0-1 0,0 1 0,1 0 0,-1 0 0,0 0 0,1 0 0,-1 0 0,1 1 0,-1-1 0,1 0 0,1-1 0,8-9 0,0 1 0,1 0 0,0 0 0,0 2 0,1-1 0,1 2 0,-1-1 0,19-6 0,11-9 0,-29 15 0,1-1 0,-1-1 0,0 0 0,22-22 0,-35 31 0,1 1 0,-1 0 0,1-1 0,-1 1 0,1 0 0,-1-1 0,1 1 0,-1-1 0,0 1 0,1-1 0,-1 1 0,0-1 0,1 1 0,-1-1 0,0 1 0,0-1 0,1 0 0,-1 1 0,0-1 0,0 1 0,0-1 0,0 1 0,0-1 0,0 0 0,0 1 0,0-1 0,0 1 0,0-1 0,0 0 0,0 0 0,-1 0 0,0 1 0,0-1 0,0 1 0,0 0 0,0-1 0,0 1 0,0 0 0,0 0 0,-1 0 0,1 0 0,0 0 0,0 0 0,0 0 0,0 0 0,-1 0 0,-46 11 0,11 1 0,1 2 0,0 2 0,2 0 0,0 3 0,0 1 0,2 1 0,-57 49 0,85-66 0,-4 2 0,1 1 0,0 0 0,1 1 0,-7 9 0,12-16 0,0 1 0,0 0 0,0 0 0,0 0 0,0 0 0,0 0 0,1 0 0,-1 0 0,0 0 0,1 1 0,0-1 0,0 0 0,-1 0 0,1 0 0,1 0 0,-1 1 0,0-1 0,0 0 0,1 0 0,-1 0 0,1 0 0,0 0 0,0 0 0,1 4 0,2-1 0,-1 0 0,1-1 0,1 1 0,-1-1 0,0 1 0,1-1 0,0-1 0,0 1 0,8 4 0,56 23 0,-52-24 0,268 108-1365,-254-102-5461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2927 108 24575,'-2028'0'0,"1986"2"0,-76 14 0,15-1 0,-266-2 0,364-13 0,-1-1 0,1 0 0,0 0 0,0 0 0,0-1 0,0 0 0,0 0 0,0 0 0,1 0 0,-1-1 0,1 0 0,-1 0 0,1 0 0,0 0 0,-6-7 0,9 8 0,-1 1 0,1-1 0,-1 0 0,1 0 0,-1 0 0,1-1 0,0 1 0,0 0 0,0 0 0,0 0 0,1-1 0,-1 1 0,1-1 0,-1 1 0,1 0 0,0-1 0,0 1 0,0-1 0,0 1 0,0-1 0,1 1 0,-1 0 0,1-1 0,-1 1 0,1 0 0,0-1 0,0 1 0,0 0 0,0 0 0,0 0 0,1 0 0,-1 0 0,1 0 0,-1 0 0,3-2 0,0 0 0,1 1 0,0-1 0,0 1 0,0 0 0,1 0 0,-1 1 0,1 0 0,-1 0 0,1 0 0,0 0 0,6 0 0,-7 1 0,-69 11 0,-115 29 0,178-39 0,0 0 0,0 0 0,0 0 0,0 1 0,0-1 0,1 0 0,-1 1 0,0-1 0,0 1 0,0-1 0,1 0 0,-1 1 0,0 0 0,1-1 0,-1 1 0,0-1 0,1 1 0,-1 0 0,1 0 0,-1-1 0,1 1 0,-1 0 0,1 0 0,-1 0 0,1-1 0,0 1 0,0 0 0,-1 1 0,1 0 0,1 0 0,-1-1 0,1 1 0,-1-1 0,1 1 0,-1-1 0,1 1 0,0-1 0,0 1 0,0-1 0,0 0 0,0 1 0,0-1 0,2 2 0,5 5 0,1-1 0,0 0 0,15 9 0,138 63 0,-72-37 0,-82-39-170,-1 1-1,-1 0 0,1 1 1,0-1-1,-1 1 0,0 1 1,6 6-1,3 8-6655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1719 2138 24575,'6'-12'0,"2"1"0,0 0 0,0 0 0,1 0 0,0 1 0,1 0 0,0 1 0,0 0 0,1 1 0,1 0 0,-1 1 0,1 0 0,19-8 0,16-4 0,0 2 0,65-14 0,-92 26 0,14-4 0,0 2 0,51-4 0,-76 10 0,0 0 0,1 1 0,-1 0 0,0 1 0,1 0 0,-1 1 0,0-1 0,0 2 0,0-1 0,0 2 0,-1-1 0,1 1 0,-1 0 0,9 6 0,-13-7 0,0 0 0,0 1 0,-1-1 0,0 1 0,0-1 0,0 1 0,0 0 0,0 0 0,-1 1 0,1-1 0,-1 0 0,0 1 0,-1-1 0,1 1 0,-1 0 0,0 0 0,0-1 0,0 1 0,-1 0 0,0 0 0,0 0 0,0 0 0,0-1 0,-1 1 0,-2 9 0,1-6 0,-1 1 0,-1-1 0,1 0 0,-1 0 0,-1 0 0,1 0 0,-1-1 0,-1 1 0,1-1 0,-1-1 0,-1 1 0,1-1 0,-10 7 0,-8 3 0,-1 0 0,0-2 0,-1 0 0,-1-2 0,-41 13 0,-144 28 0,183-46 0,23-3 0,14-1 0,15-1 0,66-4 0,-62 0 0,1 1 0,0 2 0,46 6 0,-70-6 0,1 1 0,0-1 0,0 1 0,-1 1 0,1-1 0,-1 0 0,1 1 0,-1 0 0,0 0 0,0 0 0,-1 1 0,1-1 0,-1 1 0,1 0 0,-1 0 0,0 0 0,-1 1 0,1-1 0,-1 1 0,0-1 0,0 1 0,0 0 0,-1-1 0,3 11 0,0 9 0,0-1 0,-2 1 0,-1 45 0,-1-61 0,0-2 0,0 0 0,0 1 0,-1-1 0,0 0 0,0 0 0,-1 0 0,1 1 0,-1-2 0,-1 1 0,1 0 0,-1 0 0,0-1 0,-5 7 0,4-6 0,-2-1 0,1 0 0,0 0 0,-1 0 0,0-1 0,0 0 0,-1 0 0,1-1 0,-1 1 0,0-1 0,-8 2 0,-164 55 120,139-49-615,0-1 0,-65 5 0,67-12-6331</inkml:trace>
  <inkml:trace contextRef="#ctx0" brushRef="#br0" timeOffset="1">3624 1694 24575,'-74'-1'0,"-82"4"0,149-3 0,0 1 0,-1 1 0,1-1 0,0 2 0,-1-1 0,1 1 0,0-1 0,1 2 0,-1-1 0,1 1 0,-1 0 0,1 1 0,0-1 0,1 1 0,-1 0 0,-9 12 0,2 1 0,1 1 0,1 1 0,0 0 0,-9 26 0,-10 19 0,23-54 0,0-1 0,0 0 0,-11 12 0,11-14 0,1-1 0,0 1 0,0 0 0,1 0 0,0 1 0,-5 10 0,-32 127 0,40-139 0,0 0 0,0 1 0,0 0 0,1-1 0,0 1 0,1 0 0,0-1 0,0 1 0,1 0 0,-1 0 0,2-1 0,-1 1 0,1-1 0,0 1 0,7 13 0,-4-10 0,1-1 0,0 0 0,1-1 0,0 1 0,1-1 0,0-1 0,0 0 0,1 0 0,0 0 0,11 6 0,-9-7 0,1 0 0,0-1 0,0-1 0,1 0 0,-1-1 0,1 0 0,24 3 0,98 6 0,-91-11 0,-33-1-104,11 1-317,-1-1 1,37-4 0,-34-1-6406</inkml:trace>
  <inkml:trace contextRef="#ctx0" brushRef="#br0" timeOffset="2">3709 1270 24575,'0'-4'0,"0"1"0,0-1 0,1 0 0,-1 0 0,1 0 0,0 0 0,1 1 0,-1-1 0,1 0 0,-1 1 0,1 0 0,0-1 0,0 1 0,5-6 0,-2 4 0,0 0 0,0 1 0,1-1 0,0 1 0,0 0 0,0 1 0,11-6 0,7 0 0,1 1 0,0 1 0,38-6 0,-48 10 0,44-11 0,-37 8 0,40-5 0,-54 10 0,0 1 0,0 0 0,1 0 0,-1 1 0,0 0 0,0 1 0,0-1 0,13 6 0,-11-2 0,0 0 0,0 1 0,-1 0 0,1 1 0,-1 0 0,-1 0 0,1 1 0,-1 0 0,-1 1 0,1-1 0,-2 2 0,1-1 0,-1 1 0,0 0 0,-1 0 0,-1 0 0,1 1 0,-2 0 0,1 0 0,-1 0 0,-1 0 0,0 0 0,-1 0 0,0 1 0,-1 12 0,0-19 0,-1 1 0,-1-1 0,1 1 0,-1-1 0,0 0 0,0 0 0,0 1 0,-1-2 0,0 1 0,0 0 0,0 0 0,-1-1 0,1 0 0,-8 7 0,-6 4 0,0-1 0,-27 16 0,22-15 0,-22 14 0,21-14 0,0 0 0,-34 31 0,57-45 0,-1 0 0,0-1 0,0 1 0,1 0 0,-1-1 0,1 1 0,-1 0 0,0 0 0,1 0 0,-1-1 0,1 1 0,0 0 0,-1 0 0,1 0 0,0 0 0,-1 0 0,1 0 0,0 0 0,0 0 0,0 2 0,0-3 0,1 1 0,-1 0 0,0-1 0,1 1 0,-1 0 0,1-1 0,-1 1 0,1 0 0,-1-1 0,1 1 0,-1-1 0,1 1 0,0-1 0,-1 1 0,1-1 0,0 0 0,-1 1 0,1-1 0,0 0 0,0 1 0,7 1 0,0-1 0,-1 1 0,1-1 0,8 0 0,-13-1 0,400 0 34,-228-4-1433,-94 3-5427</inkml:trace>
  <inkml:trace contextRef="#ctx0" brushRef="#br0" timeOffset="3">5275 2181 24575,'-15'0'0,"-18"0"0,-26 0 0,-17 0 0,-18 0 0,-17 0 0,-1 0 0,11 0 0,16 0 0,19 0 0,13 0 0,12 0 0,13 0-8191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1 338 24575,'2'4'0,"1"0"0,-1-1 0,0 1 0,0 0 0,0 0 0,-1 0 0,1 1 0,-1-1 0,0 0 0,1 6 0,3 10 0,40 111 0,13 40 0,-51-142 0,-1-1 0,-1 1 0,-1-1 0,-1 39 0,-6 55 0,4-200 0,-2 30 0,2 0 0,2 1 0,16-80 0,56-87 0,-26 83 0,-45 121 0,-1 0 0,2 0 0,-1 1 0,1 0 0,1 0 0,0 0 0,0 0 0,0 1 0,1 0 0,1 0 0,-1 1 0,1 0 0,0 1 0,1-1 0,0 2 0,0-1 0,0 1 0,19-8 0,-25 12 0,-1 0 0,0 1 0,0-1 0,1 0 0,-1 1 0,1-1 0,-1 1 0,1 0 0,-1 0 0,1 0 0,-1 0 0,1 0 0,-1 1 0,0-1 0,1 1 0,-1-1 0,1 1 0,-1 0 0,0 0 0,3 1 0,-1 1 0,0 0 0,0 0 0,-1 0 0,1 0 0,-1 1 0,0-1 0,1 1 0,-2 0 0,6 8 0,-2 0 0,0 0 0,-1 1 0,0 0 0,-1 0 0,0 1 0,3 20 0,-5-13 0,0 0 0,-1 0 0,-2 22 0,1-37 0,-1-1 0,0 1 0,0 0 0,0 0 0,-1-1 0,0 1 0,0-1 0,0 0 0,-1 1 0,1-1 0,-2 0 0,1 0 0,0-1 0,-1 1 0,0-1 0,-5 5 0,-3 0 0,-1 0 0,-1-1 0,0 0 0,0-1 0,0-1 0,-1 0 0,0-1 0,0-1 0,0 0 0,-32 3 0,-10-2 0,-95-5 0,120-1 0,-1 3 0,22 2 0,11-4 0,0 1 0,0-1 0,0 0 0,0 1 0,0-1 0,0 0 0,0 1 0,0-1 0,0 0 0,0 1 0,0-1 0,1 0 0,-1 0 0,0 1 0,0-1 0,0 0 0,1 0 0,-1 1 0,0-1 0,0 0 0,1 0 0,-1 1 0,0-1 0,1 0 0,-1 0 0,0 0 0,0 0 0,1 0 0,-1 1 0,0-1 0,1 0 0,-1 0 0,0 0 0,1 0 0,11 4 0,-1 0 0,0-1 0,1 0 0,13 1 0,29 8 0,-29-3 14,0 1-1,-1 1 0,0 1 0,-1 1 1,0 2-1,-1 0 0,-1 1 1,26 26-1,-10-5-384,-1 1-1,-3 2 1,37 57 0,-46-60-6455</inkml:trace>
  <inkml:trace contextRef="#ctx0" brushRef="#br0" timeOffset="1">890 677 24575,'-3'0'0,"1"0"0,0 1 0,0-1 0,0 0 0,-1 1 0,1-1 0,0 1 0,0 0 0,0-1 0,0 1 0,0 0 0,0 0 0,0 1 0,1-1 0,-1 0 0,0 0 0,1 1 0,-3 2 0,1-1 0,1 1 0,0-1 0,-1 1 0,1 0 0,1 0 0,-1 0 0,1 0 0,-1 0 0,0 4 0,-1 11 0,1 0 0,1 1 0,1 27 0,0-30 0,0-11 0,0-1 0,0 0 0,1 0 0,0 1 0,0-1 0,0 0 0,0 0 0,1 0 0,0 0 0,0 0 0,3 5 0,-3-8 0,0 1 0,0-1 0,0 0 0,0 0 0,0 0 0,0-1 0,0 1 0,0 0 0,1-1 0,-1 1 0,1-1 0,-1 0 0,1 0 0,0 0 0,-1 0 0,1 0 0,0-1 0,0 1 0,0-1 0,-1 0 0,1 0 0,4 0 0,-2 0 0,0-1 0,0 0 0,0 0 0,0 0 0,0 0 0,0-1 0,-1 0 0,1 0 0,-1 0 0,1 0 0,-1-1 0,0 0 0,0 1 0,0-2 0,0 1 0,0 0 0,5-8 0,-5 6 0,0-1 0,0 0 0,-1 1 0,1-1 0,-1-1 0,-1 1 0,1 0 0,-1-1 0,0 1 0,-1-1 0,0 0 0,1-10 0,-2 13 0,0 0 0,-1 1 0,1-1 0,-1 1 0,0-1 0,0 1 0,-1-1 0,1 1 0,0 0 0,-1 0 0,0 0 0,0 0 0,0 0 0,0 0 0,0 0 0,-1 0 0,1 1 0,-1-1 0,0 1 0,0 0 0,0 0 0,0 0 0,0 0 0,-4-1 0,-8-5 0,0 2 0,0 0 0,-31-7 0,-83-23-1365,95 26-5461</inkml:trace>
  <inkml:trace contextRef="#ctx0" brushRef="#br0" timeOffset="2">1144 254 24575,'-5'14'0,"1"0"0,0 0 0,1 0 0,1 0 0,0 0 0,1 0 0,1 1 0,0-1 0,1 1 0,4 21 0,0-19 0,2 0 0,-1 0 0,2-1 0,0 0 0,1 0 0,1-1 0,19 24 0,21 35 0,49 100 0,-99-173 0,0 0 0,0 0 0,1 0 0,-1-1 0,0 1 0,1 0 0,-1 0 0,1 0 0,-1-1 0,1 1 0,-1 0 0,1-1 0,0 1 0,-1-1 0,1 1 0,0-1 0,-1 1 0,1-1 0,0 1 0,0-1 0,-1 1 0,1-1 0,0 0 0,0 0 0,0 1 0,-1-1 0,1 0 0,0 0 0,0 0 0,0 0 0,0 0 0,0 0 0,-1 0 0,1 0 0,0 0 0,0-1 0,0 1 0,0 0 0,-1 0 0,1-1 0,0 1 0,0 0 0,0-1 0,-1 1 0,1-1 0,0 1 0,-1-1 0,1 0 0,0 1 0,-1-1 0,1 0 0,3-4 0,-1 0 0,0 0 0,0 0 0,0 0 0,-1 0 0,4-11 0,20-83 0,27-191 0,-53 288 0,0 1 0,0-1 0,0 0 0,0 1 0,1-1 0,-1 1 0,1-1 0,-1 0 0,1 1 0,-1-1 0,1 1 0,0-1 0,0 1 0,0-1 0,0 1 0,0 0 0,1-2 0,-1 3 0,-1 0 0,1 0 0,0 0 0,-1 0 0,1 0 0,0 0 0,-1 0 0,1 0 0,0 0 0,-1 0 0,1 0 0,0 1 0,-1-1 0,1 0 0,-1 1 0,1-1 0,-1 0 0,1 1 0,0-1 0,-1 0 0,1 1 0,-1-1 0,0 1 0,1-1 0,-1 1 0,1-1 0,0 2 0,4 6 0,0 0 0,0 0 0,0 1 0,4 12 0,45 135 0,-47-129 0,-1 0 0,-1 1 0,2 53 0,-7-52 0,4-19 0,2-13 0,9-19 0,-12 17 0,21-39 0,-3-2 0,22-63 0,-26 62 0,2 1 0,42-76 0,-55 113-151,-1-1-1,0 0 0,0 0 0,-1-1 1,-1 1-1,0-1 0,0 0 1,1-17-1,-2-1-6674</inkml:trace>
  <inkml:trace contextRef="#ctx0" brushRef="#br0" timeOffset="3">2986 105 24575,'-1'-2'0,"0"0"0,0 0 0,0 0 0,0 0 0,0 0 0,0 0 0,0 0 0,-1 0 0,1 0 0,0 1 0,-1-1 0,0 1 0,1-1 0,-1 1 0,0-1 0,0 1 0,-3-2 0,-35-20 0,39 23 0,-12-6 0,-1 1 0,0 0 0,0 1 0,-1 1 0,1 0 0,-27-2 0,6 4 0,-60 5 0,88-4 0,1 1 0,0 0 0,-1 1 0,1 0 0,0 0 0,0 0 0,0 1 0,0-1 0,0 1 0,1 1 0,-1-1 0,1 1 0,0 0 0,0 0 0,0 1 0,1-1 0,-1 1 0,-4 7 0,7-8 0,-1 0 0,1 0 0,0 0 0,0 0 0,1 1 0,-1-1 0,1 1 0,0-1 0,0 1 0,0-1 0,1 1 0,0 0 0,0-1 0,0 1 0,0 0 0,1-1 0,-1 1 0,1-1 0,1 1 0,-1-1 0,1 1 0,-1-1 0,1 0 0,0 1 0,4 5 0,23 30 0,2 0 0,49 48 0,33 42 0,-107-122 0,-1 0 0,0 1 0,-1 0 0,0 0 0,0 0 0,-1 0 0,0 1 0,-1 0 0,2 18 0,-2-9 0,-1 0 0,-1-1 0,-1 1 0,-4 23 0,4-38 0,-1 0 0,1 0 0,0 0 0,-1 0 0,0 0 0,0-1 0,0 1 0,0-1 0,-1 1 0,1-1 0,-1 0 0,0 0 0,0 0 0,0-1 0,0 1 0,0 0 0,-1-1 0,1 0 0,-1 0 0,0 0 0,1-1 0,-1 1 0,0-1 0,0 0 0,0 0 0,-8 1 0,-9 2 0,-1-2 0,0 0 0,-37-3 0,57 1 0,-8 0 0,-110-9 0,110 8 0,0-1 0,1 0 0,-1-1 0,0 0 0,1 0 0,0-1 0,0 0 0,0-1 0,-14-9 0,4-7-1365,9-1-5461</inkml:trace>
  <inkml:trace contextRef="#ctx0" brushRef="#br0" timeOffset="4">3176 127 24575,'-2'1'0,"0"-1"0,0 0 0,1 1 0,-1-1 0,0 1 0,1 0 0,-1 0 0,0-1 0,1 1 0,-1 0 0,1 0 0,0 1 0,-1-1 0,1 0 0,0 0 0,-1 1 0,1-1 0,0 0 0,0 1 0,0-1 0,1 1 0,-1 0 0,0-1 0,0 1 0,1 0 0,-1-1 0,1 1 0,0 0 0,-1 0 0,1 1 0,-2 11 0,0 0 0,0 25 0,1-27 0,0 9 0,-1 13 0,2 1 0,6 63 0,-5-94 0,0 0 0,0 0 0,0 0 0,0 0 0,1-1 0,-1 1 0,1-1 0,0 1 0,0-1 0,0 1 0,1-1 0,-1 0 0,1 0 0,-1 0 0,1-1 0,0 1 0,0-1 0,1 1 0,-1-1 0,0 0 0,1 0 0,6 2 0,-5-2 0,0-1 0,0 0 0,0 0 0,1 0 0,-1-1 0,0 1 0,0-1 0,0-1 0,0 1 0,0-1 0,0 0 0,0 0 0,0 0 0,0-1 0,0 0 0,8-4 0,9-8 0,0-2 0,-1 0 0,-1-1 0,-1-2 0,23-26 0,-24 26 0,-2 0 0,0 0 0,-2-2 0,0 0 0,-1 0 0,-1-1 0,-1-1 0,-2 0 0,0 0 0,-1-1 0,9-46 0,-16 64 0,9-29 0,-10 34 0,1-1 0,-1 0 0,1 1 0,0-1 0,0 0 0,0 1 0,0-1 0,0 1 0,0-1 0,0 1 0,0 0 0,1-1 0,-1 1 0,1 0 0,1-1 0,-2 2 0,0 0 0,-1 0 0,1 0 0,-1 0 0,1 0 0,0 0 0,-1 0 0,1 0 0,-1 1 0,1-1 0,-1 0 0,1 0 0,-1 1 0,1-1 0,-1 0 0,1 1 0,-1-1 0,1 0 0,-1 1 0,1-1 0,-1 1 0,0-1 0,1 1 0,-1-1 0,0 1 0,1-1 0,-1 1 0,0-1 0,0 1 0,1-1 0,-1 1 0,0 0 0,0-1 0,0 1 0,0-1 0,0 1 0,0 0 0,0 0 0,4 29 0,-4-28 0,4 334 0,-7-174 0,3-155-195,0 0 0,1 0 0,-1 0 0,1 0 0,1-1 0,2 10 0,5 3-6631</inkml:trace>
  <inkml:trace contextRef="#ctx0" brushRef="#br0" timeOffset="5">4044 105 24575,'-7'10'0,"0"0"0,1 0 0,1 0 0,-1 1 0,2-1 0,0 1 0,0 0 0,-2 14 0,0-7 0,-3 15 0,2 1 0,1-1 0,-3 58 0,9 102 0,1-136 0,-2-136 0,4 0 0,3 0 0,3 0 0,23-87 0,-31 160 0,1 1 0,-1 0 0,1 0 0,0 0 0,0 0 0,1 0 0,0 0 0,-1 1 0,2 0 0,-1-1 0,0 1 0,1 0 0,0 0 0,0 1 0,8-7 0,-7 8 0,0-1 0,1 1 0,-1 0 0,1 1 0,0-1 0,-1 1 0,1 0 0,0 1 0,0-1 0,-1 1 0,1 0 0,0 1 0,0-1 0,8 3 0,-10-2 0,1 0 0,-1 1 0,1-1 0,-1 1 0,1 0 0,-1 1 0,0-1 0,0 1 0,0 0 0,0 0 0,-1 0 0,1 0 0,-1 1 0,0-1 0,0 1 0,0 0 0,0 0 0,-1 0 0,1 0 0,-1 0 0,2 6 0,3 10 0,0 0 0,-1 1 0,5 29 0,-10-42 0,7 51 0,-3 0 0,-5 118 0,-1-101 0,12-137 0,15-84 0,-21 50 0,-5 65 0,1 0 0,2 0 0,7-37 0,-7 58 0,0 0 0,0 0 0,0 0 0,1 0 0,1 0 0,-1 1 0,1 0 0,1 0 0,-1 0 0,1 1 0,1 0 0,0 0 0,0 0 0,10-7 0,-4 4 0,0 1 0,1 1 0,0 0 0,0 1 0,1 0 0,0 2 0,0-1 0,0 2 0,25-5 0,-37 9 0,0 0 0,0 0 0,-1 1 0,1-1 0,0 0 0,0 1 0,-1 0 0,1 0 0,0 0 0,-1 0 0,1 0 0,-1 0 0,1 1 0,-1-1 0,1 1 0,-1-1 0,0 1 0,0 0 0,0 0 0,0 0 0,0 0 0,-1 1 0,1-1 0,0 0 0,-1 1 0,0-1 0,1 1 0,-1-1 0,0 1 0,-1 0 0,1-1 0,1 6 0,1 10 0,-1-1 0,0 0 0,-1 1 0,-1 20 0,-1-23 0,-4 391-1365,5-377-5461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0 24575,'-1'7'0,"1"4"0,0-1 0,0 1 0,1 0 0,0-1 0,0 1 0,2 0 0,-1-1 0,1 0 0,7 16 0,20 24 0,1-1 0,3-1 0,51 54 0,-10-11 0,-30-35 0,-15-22 0,-3 1 0,0 2 0,-3 0 0,-1 1 0,20 47 0,-26-43 0,-1 0 0,-3 1 0,-2 1 0,-1 0 0,5 61 0,-5-37 0,-21-164 0,9 64 0,-2 0 0,-11-47 0,12 68 0,-1-1 0,-1 1 0,1 0 0,-2 1 0,1-1 0,-2 1 0,1 0 0,-1 0 0,-1 1 0,-13-13 0,8 9 0,-1 1 0,0 1 0,-1 1 0,0 0 0,-1 0 0,-25-10 0,39 21 0,6 6 0,11 12 0,-9-12 0,30 42 0,34 64 0,25 34 0,-94-145 0,0 0 0,0 0 0,1-1 0,-1 1 0,0-1 0,1 1 0,-1-1 0,1 0 0,-1 0 0,1 1 0,0-1 0,0 0 0,-1-1 0,1 1 0,0 0 0,0 0 0,0-1 0,2 1 0,-3-1 0,0 0 0,0 0 0,1-1 0,-1 1 0,0 0 0,0-1 0,0 1 0,0-1 0,0 1 0,1-1 0,-1 0 0,0 1 0,-1-1 0,1 0 0,0 0 0,0 0 0,0 0 0,0 1 0,-1-1 0,1 0 0,1-2 0,2-5 0,-1 0 0,0 0 0,0 0 0,0 0 0,-1 0 0,2-16 0,6-54 0,16-90 0,-19 141 0,0-1 0,2 1 0,1 0 0,14-26 0,-9 25-341,1 2 0,1 0-1,23-27 1,-25 34-6485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24575,'10'1'0,"0"0"0,-1 0 0,1 1 0,0 1 0,0-1 0,-1 1 0,1 1 0,-1 0 0,0 0 0,10 7 0,11 8 0,40 36 0,-51-40 0,409 331 0,-408-330 0,0 2 0,32 38 0,-45-47 0,0 0 0,-1 0 0,-1 1 0,1 0 0,-1 0 0,-1 0 0,0 1 0,-1 0 0,3 13 0,1 4 0,2 0 0,1 0 0,25 50 0,11 31 0,-35-69 0,-1 1 0,-2-1 0,-1 2 0,0 43 0,-8 168 0,-2-135 0,4-57-52,-1-22-605,-6 72 1,1-88-6170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07:18:26.9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154 0 24575,'-5'6'0,"1"0"0,-1 0 0,2 0 0,-7 14 0,-4 5 0,3-3 0,1 0 0,1 1 0,0 0 0,-8 42 0,7-27 0,-1 10 0,2 1 0,-3 60 0,8-69 0,-5 399 0,12-264 0,-5-99 0,0-26 0,5 62 0,-1-97 0,0 0 0,1 0 0,0-1 0,1 1 0,1-1 0,0 0 0,1 0 0,13 21 0,13 9 0,2-1 0,2-1 0,57 50 0,-12-12 0,-70-70 0,0 0 0,1-1 0,0 0 0,1-1 0,-1-1 0,1 0 0,1 0 0,-1-1 0,23 6 0,13 0 0,72 11 0,-46-11 0,6 2 0,87 21 0,-110-21-1365,-33-10-5461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4441-0FA7-45B5-942B-C061B43AF645}">
  <dimension ref="A1:AG43"/>
  <sheetViews>
    <sheetView zoomScale="74" workbookViewId="0">
      <selection activeCell="AA35" sqref="AA35"/>
    </sheetView>
  </sheetViews>
  <sheetFormatPr defaultRowHeight="14.4" x14ac:dyDescent="0.3"/>
  <cols>
    <col min="4" max="4" width="8.88671875" customWidth="1"/>
    <col min="5" max="5" width="3.5546875" customWidth="1"/>
    <col min="6" max="6" width="3.109375" customWidth="1"/>
    <col min="7" max="7" width="2.33203125" customWidth="1"/>
    <col min="8" max="8" width="2.5546875" customWidth="1"/>
    <col min="12" max="12" width="12" bestFit="1" customWidth="1"/>
    <col min="15" max="15" width="5.33203125" customWidth="1"/>
  </cols>
  <sheetData>
    <row r="1" spans="1:33" x14ac:dyDescent="0.3">
      <c r="A1" t="s">
        <v>2</v>
      </c>
      <c r="B1" t="s">
        <v>1</v>
      </c>
      <c r="C1" t="s">
        <v>3</v>
      </c>
    </row>
    <row r="2" spans="1:33" x14ac:dyDescent="0.3">
      <c r="A2" t="s">
        <v>4</v>
      </c>
      <c r="B2" t="s">
        <v>0</v>
      </c>
      <c r="C2" t="s">
        <v>4</v>
      </c>
    </row>
    <row r="3" spans="1:33" x14ac:dyDescent="0.3">
      <c r="A3" t="s">
        <v>3</v>
      </c>
      <c r="B3" t="s">
        <v>6</v>
      </c>
      <c r="C3" t="s">
        <v>5</v>
      </c>
      <c r="L3" s="1">
        <f t="shared" ref="L3:N5" si="0">SQRT(L11)</f>
        <v>1.4142135623730951</v>
      </c>
      <c r="M3" s="1">
        <f t="shared" si="0"/>
        <v>2.6457513110645907</v>
      </c>
      <c r="N3" s="1">
        <f t="shared" si="0"/>
        <v>2.4494897427831779</v>
      </c>
    </row>
    <row r="4" spans="1:33" x14ac:dyDescent="0.3">
      <c r="L4" s="1">
        <f t="shared" si="0"/>
        <v>3</v>
      </c>
      <c r="M4" s="1">
        <f t="shared" si="0"/>
        <v>2.2360679774997898</v>
      </c>
      <c r="N4" s="1">
        <f t="shared" si="0"/>
        <v>1</v>
      </c>
    </row>
    <row r="5" spans="1:33" x14ac:dyDescent="0.3">
      <c r="L5" s="1">
        <f t="shared" si="0"/>
        <v>2</v>
      </c>
      <c r="M5" s="1">
        <f t="shared" si="0"/>
        <v>1.7320508075688772</v>
      </c>
      <c r="N5" s="1">
        <f t="shared" si="0"/>
        <v>2.8284271247461903</v>
      </c>
      <c r="AC5" s="10" t="s">
        <v>11</v>
      </c>
      <c r="AD5" s="10">
        <v>25</v>
      </c>
    </row>
    <row r="8" spans="1:33" x14ac:dyDescent="0.3">
      <c r="E8" s="8"/>
      <c r="I8">
        <v>1</v>
      </c>
      <c r="AC8" s="13">
        <v>-3</v>
      </c>
      <c r="AD8" s="13">
        <v>2</v>
      </c>
      <c r="AE8" s="13">
        <v>1</v>
      </c>
    </row>
    <row r="9" spans="1:33" x14ac:dyDescent="0.3">
      <c r="F9" s="7"/>
      <c r="I9">
        <v>2</v>
      </c>
      <c r="L9" s="3" t="s">
        <v>8</v>
      </c>
      <c r="M9" s="3" t="s">
        <v>7</v>
      </c>
      <c r="N9" s="3" t="s">
        <v>9</v>
      </c>
      <c r="P9">
        <f>SUM(N11,M12,L13)</f>
        <v>15</v>
      </c>
      <c r="U9" s="4" t="str">
        <f>"-3"</f>
        <v>-3</v>
      </c>
      <c r="V9" s="4" t="str">
        <f>"+2"</f>
        <v>+2</v>
      </c>
      <c r="W9" s="4" t="str">
        <f>"+1"</f>
        <v>+1</v>
      </c>
      <c r="Y9">
        <f>SUM(W11,V12,U13)</f>
        <v>15</v>
      </c>
      <c r="AC9" s="2"/>
      <c r="AD9" s="2"/>
      <c r="AE9" s="2"/>
      <c r="AG9">
        <f>SUM(AE11,AD12,AC13)</f>
        <v>75</v>
      </c>
    </row>
    <row r="10" spans="1:33" x14ac:dyDescent="0.3">
      <c r="G10" s="6"/>
      <c r="I10">
        <v>3</v>
      </c>
    </row>
    <row r="11" spans="1:33" x14ac:dyDescent="0.3">
      <c r="H11" s="5"/>
      <c r="I11">
        <v>4</v>
      </c>
      <c r="L11" s="1">
        <v>2</v>
      </c>
      <c r="M11" s="1">
        <v>7</v>
      </c>
      <c r="N11" s="1">
        <v>6</v>
      </c>
      <c r="P11">
        <f>SUM(L11:N11)</f>
        <v>15</v>
      </c>
      <c r="U11" s="1">
        <v>2</v>
      </c>
      <c r="V11" s="1">
        <v>7</v>
      </c>
      <c r="W11" s="1">
        <v>6</v>
      </c>
      <c r="Y11">
        <f>SUM(U11:W11)</f>
        <v>15</v>
      </c>
      <c r="AC11" s="1">
        <f>AD12+AC8</f>
        <v>22</v>
      </c>
      <c r="AD11" s="1">
        <f>AD12+AD8</f>
        <v>27</v>
      </c>
      <c r="AE11" s="1">
        <f>AD12+AE8</f>
        <v>26</v>
      </c>
      <c r="AG11">
        <f>SUM(AC11:AE11)</f>
        <v>75</v>
      </c>
    </row>
    <row r="12" spans="1:33" x14ac:dyDescent="0.3">
      <c r="I12" s="9">
        <v>5</v>
      </c>
      <c r="K12" s="3" t="s">
        <v>10</v>
      </c>
      <c r="L12" s="1">
        <v>9</v>
      </c>
      <c r="M12" s="1">
        <v>5</v>
      </c>
      <c r="N12" s="1">
        <v>1</v>
      </c>
      <c r="P12">
        <f>SUM(L12:N12)</f>
        <v>15</v>
      </c>
      <c r="T12" s="4" t="str">
        <f>"+4"</f>
        <v>+4</v>
      </c>
      <c r="U12" s="1">
        <v>9</v>
      </c>
      <c r="V12" s="1">
        <v>5</v>
      </c>
      <c r="W12" s="1">
        <v>1</v>
      </c>
      <c r="Y12">
        <f>SUM(U12:W12)</f>
        <v>15</v>
      </c>
      <c r="AB12" s="4" t="str">
        <f>"+4"</f>
        <v>+4</v>
      </c>
      <c r="AC12" s="1">
        <f>AD12+AB12</f>
        <v>29</v>
      </c>
      <c r="AD12" s="14">
        <f>AD5</f>
        <v>25</v>
      </c>
      <c r="AE12" s="1">
        <f>AD12+AF12</f>
        <v>21</v>
      </c>
      <c r="AF12" s="13">
        <f>-1*AB12</f>
        <v>-4</v>
      </c>
      <c r="AG12">
        <f>SUM(AC12:AE12)</f>
        <v>75</v>
      </c>
    </row>
    <row r="13" spans="1:33" x14ac:dyDescent="0.3">
      <c r="H13" s="5"/>
      <c r="I13">
        <v>6</v>
      </c>
      <c r="L13" s="1">
        <v>4</v>
      </c>
      <c r="M13" s="1">
        <v>3</v>
      </c>
      <c r="N13" s="1">
        <v>8</v>
      </c>
      <c r="P13">
        <f>SUM(L13:N13)</f>
        <v>15</v>
      </c>
      <c r="U13" s="1">
        <v>4</v>
      </c>
      <c r="V13" s="1">
        <v>3</v>
      </c>
      <c r="W13" s="1">
        <v>8</v>
      </c>
      <c r="Y13">
        <f>SUM(U13:W13)</f>
        <v>15</v>
      </c>
      <c r="AC13" s="1">
        <f>AD12+AC16</f>
        <v>24</v>
      </c>
      <c r="AD13" s="1">
        <f>AD12+AD16</f>
        <v>23</v>
      </c>
      <c r="AE13" s="1">
        <f>AD12+AE16</f>
        <v>28</v>
      </c>
      <c r="AG13">
        <f>SUM(AC13:AE13)</f>
        <v>75</v>
      </c>
    </row>
    <row r="14" spans="1:33" x14ac:dyDescent="0.3">
      <c r="G14" s="6"/>
      <c r="I14">
        <v>7</v>
      </c>
    </row>
    <row r="15" spans="1:33" x14ac:dyDescent="0.3">
      <c r="F15" s="7"/>
      <c r="I15">
        <v>8</v>
      </c>
      <c r="L15">
        <f>SUM(L11:L13)</f>
        <v>15</v>
      </c>
      <c r="M15">
        <f>SUM(M11:M13)</f>
        <v>15</v>
      </c>
      <c r="N15">
        <f>SUM(N11:N13)</f>
        <v>15</v>
      </c>
      <c r="P15">
        <f>SUM(N13,M12,L11)</f>
        <v>15</v>
      </c>
      <c r="U15">
        <f>SUM(U11:U13)</f>
        <v>15</v>
      </c>
      <c r="V15">
        <f>SUM(V11:V13)</f>
        <v>15</v>
      </c>
      <c r="W15">
        <f>SUM(W11:W13)</f>
        <v>15</v>
      </c>
      <c r="Y15">
        <f>SUM(W13,V12,U11)</f>
        <v>15</v>
      </c>
    </row>
    <row r="16" spans="1:33" x14ac:dyDescent="0.3">
      <c r="E16" s="8"/>
      <c r="I16">
        <v>9</v>
      </c>
      <c r="AC16" s="13">
        <f>-1*AE8</f>
        <v>-1</v>
      </c>
      <c r="AD16" s="13">
        <f>-1*AD8</f>
        <v>-2</v>
      </c>
      <c r="AE16" s="13">
        <f>-1*AC8</f>
        <v>3</v>
      </c>
    </row>
    <row r="18" spans="5:33" x14ac:dyDescent="0.3">
      <c r="AC18">
        <f>SUM(AC11:AC13)</f>
        <v>75</v>
      </c>
      <c r="AD18">
        <f>SUM(AD11:AD13)</f>
        <v>75</v>
      </c>
      <c r="AE18">
        <f>SUM(AE11:AE13)</f>
        <v>75</v>
      </c>
      <c r="AG18">
        <f>SUM(AE13,AD12,AC11)</f>
        <v>75</v>
      </c>
    </row>
    <row r="21" spans="5:33" x14ac:dyDescent="0.3">
      <c r="E21" s="8"/>
      <c r="I21">
        <v>15</v>
      </c>
    </row>
    <row r="22" spans="5:33" x14ac:dyDescent="0.3">
      <c r="F22" s="7"/>
      <c r="I22">
        <v>16</v>
      </c>
      <c r="L22" s="2" t="s">
        <v>8</v>
      </c>
      <c r="M22" s="2" t="s">
        <v>7</v>
      </c>
      <c r="N22" s="2" t="s">
        <v>9</v>
      </c>
      <c r="P22">
        <f>SUM(N24,M25,L26)</f>
        <v>57</v>
      </c>
      <c r="U22" s="2" t="s">
        <v>8</v>
      </c>
      <c r="V22" s="2" t="s">
        <v>7</v>
      </c>
      <c r="W22" s="2" t="s">
        <v>9</v>
      </c>
      <c r="Y22">
        <f>SUM(W24,V25,U26)</f>
        <v>33</v>
      </c>
      <c r="AC22" s="10" t="s">
        <v>11</v>
      </c>
      <c r="AD22" s="10">
        <v>7</v>
      </c>
    </row>
    <row r="23" spans="5:33" x14ac:dyDescent="0.3">
      <c r="G23" s="6"/>
      <c r="I23">
        <v>17</v>
      </c>
    </row>
    <row r="24" spans="5:33" x14ac:dyDescent="0.3">
      <c r="H24" s="5"/>
      <c r="I24">
        <v>18</v>
      </c>
      <c r="L24" s="1">
        <v>16</v>
      </c>
      <c r="M24" s="1">
        <v>21</v>
      </c>
      <c r="N24" s="1">
        <v>20</v>
      </c>
      <c r="P24">
        <f>SUM(L24:N24)</f>
        <v>57</v>
      </c>
      <c r="U24" s="1">
        <v>8</v>
      </c>
      <c r="V24" s="1">
        <v>13</v>
      </c>
      <c r="W24" s="1">
        <v>12</v>
      </c>
      <c r="Y24">
        <f>SUM(U24:W24)</f>
        <v>33</v>
      </c>
    </row>
    <row r="25" spans="5:33" x14ac:dyDescent="0.3">
      <c r="I25" s="9">
        <v>19</v>
      </c>
      <c r="K25" s="2" t="s">
        <v>10</v>
      </c>
      <c r="L25" s="1">
        <v>23</v>
      </c>
      <c r="M25" s="1">
        <v>19</v>
      </c>
      <c r="N25" s="1">
        <v>15</v>
      </c>
      <c r="P25">
        <f>SUM(L25:N25)</f>
        <v>57</v>
      </c>
      <c r="T25" s="2" t="s">
        <v>10</v>
      </c>
      <c r="U25" s="1">
        <v>15</v>
      </c>
      <c r="V25" s="1">
        <v>11</v>
      </c>
      <c r="W25" s="1">
        <v>7</v>
      </c>
      <c r="Y25">
        <f>SUM(U25:W25)</f>
        <v>33</v>
      </c>
      <c r="AC25" s="13">
        <v>-3</v>
      </c>
      <c r="AD25" s="13">
        <v>2</v>
      </c>
      <c r="AE25" s="13">
        <v>1</v>
      </c>
    </row>
    <row r="26" spans="5:33" x14ac:dyDescent="0.3">
      <c r="H26" s="5"/>
      <c r="I26">
        <v>20</v>
      </c>
      <c r="L26" s="1">
        <v>18</v>
      </c>
      <c r="M26" s="1">
        <v>17</v>
      </c>
      <c r="N26" s="1">
        <v>22</v>
      </c>
      <c r="P26">
        <f>SUM(L26:N26)</f>
        <v>57</v>
      </c>
      <c r="U26" s="1">
        <v>10</v>
      </c>
      <c r="V26" s="1">
        <v>9</v>
      </c>
      <c r="W26" s="1">
        <v>14</v>
      </c>
      <c r="Y26">
        <f>SUM(U26:W26)</f>
        <v>33</v>
      </c>
      <c r="AC26" s="2"/>
      <c r="AD26" s="2"/>
      <c r="AE26" s="2"/>
      <c r="AG26">
        <f>SUM(AE28,AD29,AC30)</f>
        <v>21</v>
      </c>
    </row>
    <row r="27" spans="5:33" x14ac:dyDescent="0.3">
      <c r="G27" s="6"/>
      <c r="I27">
        <v>21</v>
      </c>
    </row>
    <row r="28" spans="5:33" x14ac:dyDescent="0.3">
      <c r="F28" s="7"/>
      <c r="I28">
        <v>22</v>
      </c>
      <c r="L28">
        <f>SUM(L24:L26)</f>
        <v>57</v>
      </c>
      <c r="M28">
        <f>SUM(M24:M26)</f>
        <v>57</v>
      </c>
      <c r="N28">
        <f>SUM(N24:N26)</f>
        <v>57</v>
      </c>
      <c r="P28">
        <f>SUM(N26,M25,L24)</f>
        <v>57</v>
      </c>
      <c r="U28">
        <f>SUM(U24:U26)</f>
        <v>33</v>
      </c>
      <c r="V28">
        <f>SUM(V24:V26)</f>
        <v>33</v>
      </c>
      <c r="W28">
        <f>SUM(W24:W26)</f>
        <v>33</v>
      </c>
      <c r="Y28">
        <f>SUM(W26,V25,U24)</f>
        <v>33</v>
      </c>
      <c r="AC28" s="1">
        <f>AD29+AC25</f>
        <v>4</v>
      </c>
      <c r="AD28" s="1">
        <f>AD29+AD25</f>
        <v>9</v>
      </c>
      <c r="AE28" s="1">
        <f>AD29+AE25</f>
        <v>8</v>
      </c>
      <c r="AG28">
        <f>SUM(AC28:AE28)</f>
        <v>21</v>
      </c>
    </row>
    <row r="29" spans="5:33" x14ac:dyDescent="0.3">
      <c r="E29" s="8"/>
      <c r="I29">
        <v>23</v>
      </c>
      <c r="AB29" s="4" t="str">
        <f>"+4"</f>
        <v>+4</v>
      </c>
      <c r="AC29" s="1">
        <f>AD29+AB29</f>
        <v>11</v>
      </c>
      <c r="AD29" s="14">
        <f>AD22</f>
        <v>7</v>
      </c>
      <c r="AE29" s="1">
        <f>AD29+AF29</f>
        <v>3</v>
      </c>
      <c r="AF29" s="13">
        <f>-1*AB29</f>
        <v>-4</v>
      </c>
      <c r="AG29">
        <f>SUM(AC29:AE29)</f>
        <v>21</v>
      </c>
    </row>
    <row r="30" spans="5:33" x14ac:dyDescent="0.3">
      <c r="AC30" s="1">
        <f>AD29+AC33</f>
        <v>6</v>
      </c>
      <c r="AD30" s="1">
        <f>AD29+AD33</f>
        <v>5</v>
      </c>
      <c r="AE30" s="1">
        <f>AD29+AE33</f>
        <v>10</v>
      </c>
      <c r="AG30">
        <f>SUM(AC30:AE30)</f>
        <v>21</v>
      </c>
    </row>
    <row r="33" spans="5:33" x14ac:dyDescent="0.3">
      <c r="AC33" s="13">
        <f>-1*AE25</f>
        <v>-1</v>
      </c>
      <c r="AD33" s="13">
        <f>-1*AD25</f>
        <v>-2</v>
      </c>
      <c r="AE33" s="13">
        <f>-1*AC25</f>
        <v>3</v>
      </c>
    </row>
    <row r="35" spans="5:33" x14ac:dyDescent="0.3">
      <c r="E35" s="8"/>
      <c r="I35">
        <v>25</v>
      </c>
      <c r="AC35">
        <f>SUM(AC28:AC30)</f>
        <v>21</v>
      </c>
      <c r="AD35">
        <f>SUM(AD28:AD30)</f>
        <v>21</v>
      </c>
      <c r="AE35">
        <f>SUM(AE28:AE30)</f>
        <v>21</v>
      </c>
      <c r="AG35">
        <f>SUM(AE30,AD29,AC28)</f>
        <v>21</v>
      </c>
    </row>
    <row r="36" spans="5:33" x14ac:dyDescent="0.3">
      <c r="F36" s="7"/>
      <c r="I36">
        <v>26</v>
      </c>
      <c r="L36" s="2" t="s">
        <v>8</v>
      </c>
      <c r="M36" s="2" t="s">
        <v>7</v>
      </c>
      <c r="N36" s="2" t="s">
        <v>9</v>
      </c>
      <c r="P36">
        <f>SUM(N38,M39,L40)</f>
        <v>87</v>
      </c>
    </row>
    <row r="37" spans="5:33" x14ac:dyDescent="0.3">
      <c r="G37" s="6"/>
      <c r="I37">
        <v>27</v>
      </c>
      <c r="U37" s="2" t="s">
        <v>8</v>
      </c>
      <c r="V37" s="2" t="s">
        <v>7</v>
      </c>
      <c r="W37" s="2" t="s">
        <v>9</v>
      </c>
      <c r="Y37">
        <f>SUM(W39,V40,U41)</f>
        <v>303</v>
      </c>
    </row>
    <row r="38" spans="5:33" x14ac:dyDescent="0.3">
      <c r="H38" s="5"/>
      <c r="I38">
        <v>28</v>
      </c>
      <c r="L38" s="1">
        <v>26</v>
      </c>
      <c r="M38" s="1">
        <v>31</v>
      </c>
      <c r="N38" s="1">
        <v>30</v>
      </c>
      <c r="P38">
        <f>SUM(L38:N38)</f>
        <v>87</v>
      </c>
    </row>
    <row r="39" spans="5:33" x14ac:dyDescent="0.3">
      <c r="I39" s="9">
        <v>29</v>
      </c>
      <c r="K39" s="2" t="s">
        <v>10</v>
      </c>
      <c r="L39" s="1">
        <v>33</v>
      </c>
      <c r="M39" s="1">
        <v>29</v>
      </c>
      <c r="N39" s="1">
        <v>25</v>
      </c>
      <c r="P39">
        <f>SUM(L39:N39)</f>
        <v>87</v>
      </c>
      <c r="U39" s="1">
        <v>98</v>
      </c>
      <c r="V39" s="1">
        <v>103</v>
      </c>
      <c r="W39" s="1">
        <v>102</v>
      </c>
      <c r="Y39">
        <f>SUM(U39:W39)</f>
        <v>303</v>
      </c>
      <c r="AB39" s="12" t="s">
        <v>13</v>
      </c>
      <c r="AC39" s="1">
        <f t="shared" ref="AC39:AD39" si="1">SQRT(AC28)</f>
        <v>2</v>
      </c>
      <c r="AD39" s="1">
        <f t="shared" si="1"/>
        <v>3</v>
      </c>
      <c r="AE39" s="1">
        <f>SQRT(AE28)</f>
        <v>2.8284271247461903</v>
      </c>
    </row>
    <row r="40" spans="5:33" x14ac:dyDescent="0.3">
      <c r="H40" s="5"/>
      <c r="I40">
        <v>30</v>
      </c>
      <c r="L40" s="1">
        <v>28</v>
      </c>
      <c r="M40" s="1">
        <v>27</v>
      </c>
      <c r="N40" s="1">
        <v>32</v>
      </c>
      <c r="P40">
        <f>SUM(L40:N40)</f>
        <v>87</v>
      </c>
      <c r="T40" s="2" t="s">
        <v>10</v>
      </c>
      <c r="U40" s="1">
        <v>105</v>
      </c>
      <c r="V40" s="1">
        <v>101</v>
      </c>
      <c r="W40" s="1">
        <v>97</v>
      </c>
      <c r="Y40">
        <f>SUM(U40:W40)</f>
        <v>303</v>
      </c>
      <c r="AC40" s="1">
        <f t="shared" ref="AC40:AD40" si="2">SQRT(AC29)</f>
        <v>3.3166247903553998</v>
      </c>
      <c r="AD40" s="1">
        <f t="shared" si="2"/>
        <v>2.6457513110645907</v>
      </c>
      <c r="AE40" s="1">
        <f t="shared" ref="AE40" si="3">SQRT(AE29)</f>
        <v>1.7320508075688772</v>
      </c>
    </row>
    <row r="41" spans="5:33" x14ac:dyDescent="0.3">
      <c r="G41" s="6"/>
      <c r="I41">
        <v>31</v>
      </c>
      <c r="U41" s="1">
        <v>100</v>
      </c>
      <c r="V41" s="1">
        <v>99</v>
      </c>
      <c r="W41" s="1">
        <v>104</v>
      </c>
      <c r="Y41">
        <f>SUM(U41:W41)</f>
        <v>303</v>
      </c>
      <c r="AC41" s="1">
        <f t="shared" ref="AC41:AD41" si="4">SQRT(AC30)</f>
        <v>2.4494897427831779</v>
      </c>
      <c r="AD41" s="1">
        <f t="shared" si="4"/>
        <v>2.2360679774997898</v>
      </c>
      <c r="AE41" s="1">
        <f t="shared" ref="AE41" si="5">SQRT(AE30)</f>
        <v>3.1622776601683795</v>
      </c>
    </row>
    <row r="42" spans="5:33" x14ac:dyDescent="0.3">
      <c r="F42" s="7"/>
      <c r="I42">
        <v>32</v>
      </c>
      <c r="L42">
        <f>SUM(L38:L40)</f>
        <v>87</v>
      </c>
      <c r="M42">
        <f>SUM(M38:M40)</f>
        <v>87</v>
      </c>
      <c r="N42">
        <f>SUM(N38:N40)</f>
        <v>87</v>
      </c>
      <c r="P42">
        <f>SUM(N40,M39,L38)</f>
        <v>87</v>
      </c>
    </row>
    <row r="43" spans="5:33" x14ac:dyDescent="0.3">
      <c r="E43" s="8"/>
      <c r="I43">
        <v>33</v>
      </c>
      <c r="U43">
        <f>SUM(U39:U41)</f>
        <v>303</v>
      </c>
      <c r="V43">
        <f>SUM(V39:V41)</f>
        <v>303</v>
      </c>
      <c r="W43">
        <f>SUM(W39:W41)</f>
        <v>303</v>
      </c>
      <c r="Y43">
        <f>SUM(W41,V40,U39)</f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D39D-7CFE-41A3-9F0F-C5CF5F224257}">
  <dimension ref="F4:T48"/>
  <sheetViews>
    <sheetView topLeftCell="A22" workbookViewId="0">
      <selection activeCell="O21" sqref="O21"/>
    </sheetView>
  </sheetViews>
  <sheetFormatPr defaultRowHeight="14.4" x14ac:dyDescent="0.3"/>
  <sheetData>
    <row r="4" spans="6:20" x14ac:dyDescent="0.3">
      <c r="G4" s="10" t="s">
        <v>11</v>
      </c>
      <c r="H4" s="10">
        <f>442*442</f>
        <v>195364</v>
      </c>
      <c r="P4" s="10" t="s">
        <v>11</v>
      </c>
      <c r="Q4" s="10">
        <f>442*442</f>
        <v>195364</v>
      </c>
    </row>
    <row r="7" spans="6:20" x14ac:dyDescent="0.3">
      <c r="G7" s="13">
        <v>-5</v>
      </c>
      <c r="H7" s="13">
        <v>2</v>
      </c>
      <c r="I7" s="13">
        <v>3</v>
      </c>
      <c r="P7" s="13">
        <v>-3</v>
      </c>
      <c r="Q7" s="13">
        <v>2</v>
      </c>
      <c r="R7" s="13">
        <v>1</v>
      </c>
    </row>
    <row r="8" spans="6:20" x14ac:dyDescent="0.3">
      <c r="G8" s="2"/>
      <c r="H8" s="2"/>
      <c r="I8" s="2"/>
      <c r="K8">
        <f>SUM(I10,H11,G12)</f>
        <v>586092</v>
      </c>
      <c r="P8" s="2"/>
      <c r="Q8" s="2"/>
      <c r="R8" s="2"/>
      <c r="T8">
        <f>SUM(R10,Q11,P12)</f>
        <v>586092</v>
      </c>
    </row>
    <row r="10" spans="6:20" x14ac:dyDescent="0.3">
      <c r="G10" s="1">
        <f>H4+G7</f>
        <v>195359</v>
      </c>
      <c r="H10" s="1">
        <f>H4+H7</f>
        <v>195366</v>
      </c>
      <c r="I10" s="1">
        <f>H4+I7</f>
        <v>195367</v>
      </c>
      <c r="K10">
        <f>SUM(G10:I10)</f>
        <v>586092</v>
      </c>
      <c r="P10" s="1">
        <f>Q4+P7</f>
        <v>195361</v>
      </c>
      <c r="Q10" s="1">
        <f>Q4+Q7</f>
        <v>195366</v>
      </c>
      <c r="R10" s="1">
        <f>Q4+R7</f>
        <v>195365</v>
      </c>
      <c r="T10">
        <f>SUM(P10:R10)</f>
        <v>586092</v>
      </c>
    </row>
    <row r="11" spans="6:20" x14ac:dyDescent="0.3">
      <c r="F11" s="4" t="str">
        <f>"+8"</f>
        <v>+8</v>
      </c>
      <c r="G11" s="1">
        <f>H4+F11</f>
        <v>195372</v>
      </c>
      <c r="H11" s="14">
        <f>H4</f>
        <v>195364</v>
      </c>
      <c r="I11" s="1">
        <f>H4+J11</f>
        <v>195356</v>
      </c>
      <c r="J11" s="13">
        <f>-1*F11</f>
        <v>-8</v>
      </c>
      <c r="K11">
        <f>SUM(G11:I11)</f>
        <v>586092</v>
      </c>
      <c r="O11" s="4" t="str">
        <f>"+4"</f>
        <v>+4</v>
      </c>
      <c r="P11" s="1">
        <f>Q4+O11</f>
        <v>195368</v>
      </c>
      <c r="Q11" s="14">
        <f>Q4</f>
        <v>195364</v>
      </c>
      <c r="R11" s="1">
        <f>Q4+S11</f>
        <v>195360</v>
      </c>
      <c r="S11" s="13">
        <f>-1*O11</f>
        <v>-4</v>
      </c>
      <c r="T11">
        <f>SUM(P11:R11)</f>
        <v>586092</v>
      </c>
    </row>
    <row r="12" spans="6:20" x14ac:dyDescent="0.3">
      <c r="G12" s="1">
        <f>H4+G15</f>
        <v>195361</v>
      </c>
      <c r="H12" s="1">
        <f>H4+H15</f>
        <v>195362</v>
      </c>
      <c r="I12" s="1">
        <f>H4+I15</f>
        <v>195369</v>
      </c>
      <c r="K12">
        <f>SUM(G12:I12)</f>
        <v>586092</v>
      </c>
      <c r="P12" s="1">
        <f>Q4+P15</f>
        <v>195363</v>
      </c>
      <c r="Q12" s="1">
        <f>Q4+Q15</f>
        <v>195362</v>
      </c>
      <c r="R12" s="1">
        <f>Q4+R15</f>
        <v>195367</v>
      </c>
      <c r="T12">
        <f>SUM(P12:R12)</f>
        <v>586092</v>
      </c>
    </row>
    <row r="15" spans="6:20" x14ac:dyDescent="0.3">
      <c r="G15" s="13">
        <f>-1*I7</f>
        <v>-3</v>
      </c>
      <c r="H15" s="13">
        <f>-1*H7</f>
        <v>-2</v>
      </c>
      <c r="I15" s="13">
        <f>-1*G7</f>
        <v>5</v>
      </c>
      <c r="P15" s="13">
        <f>-1*R7</f>
        <v>-1</v>
      </c>
      <c r="Q15" s="13">
        <f>-1*Q7</f>
        <v>-2</v>
      </c>
      <c r="R15" s="13">
        <f>-1*P7</f>
        <v>3</v>
      </c>
    </row>
    <row r="17" spans="6:20" x14ac:dyDescent="0.3">
      <c r="G17">
        <f>SUM(G10:G12)</f>
        <v>586092</v>
      </c>
      <c r="H17">
        <f>SUM(H10:H12)</f>
        <v>586092</v>
      </c>
      <c r="I17">
        <f>SUM(I10:I12)</f>
        <v>586092</v>
      </c>
      <c r="K17">
        <f>SUM(I12,H11,G10)</f>
        <v>586092</v>
      </c>
      <c r="P17">
        <f>SUM(P10:P12)</f>
        <v>586092</v>
      </c>
      <c r="Q17">
        <f>SUM(Q10:Q12)</f>
        <v>586092</v>
      </c>
      <c r="R17">
        <f>SUM(R10:R12)</f>
        <v>586092</v>
      </c>
      <c r="T17">
        <f>SUM(R12,Q11,P10)</f>
        <v>586092</v>
      </c>
    </row>
    <row r="21" spans="6:20" x14ac:dyDescent="0.3">
      <c r="F21" s="12" t="s">
        <v>13</v>
      </c>
      <c r="G21" s="1">
        <f t="shared" ref="G21:I23" si="0">SQRT(G10)</f>
        <v>441.99434385521272</v>
      </c>
      <c r="H21" s="1">
        <f t="shared" si="0"/>
        <v>442.0022624376486</v>
      </c>
      <c r="I21" s="1">
        <f>SQRT(I10)</f>
        <v>442.00339365213023</v>
      </c>
      <c r="O21" s="12" t="s">
        <v>13</v>
      </c>
      <c r="P21" s="1">
        <f t="shared" ref="P21:Q21" si="1">SQRT(P10)</f>
        <v>441.99660632181332</v>
      </c>
      <c r="Q21" s="1">
        <f t="shared" si="1"/>
        <v>442.0022624376486</v>
      </c>
      <c r="R21" s="1">
        <f>SQRT(R10)</f>
        <v>442.00113122027187</v>
      </c>
    </row>
    <row r="22" spans="6:20" x14ac:dyDescent="0.3">
      <c r="G22" s="1">
        <f t="shared" si="0"/>
        <v>442.00904968111229</v>
      </c>
      <c r="H22" s="1">
        <f t="shared" si="0"/>
        <v>442</v>
      </c>
      <c r="I22" s="1">
        <f t="shared" si="0"/>
        <v>441.99095013359721</v>
      </c>
      <c r="P22" s="1">
        <f t="shared" ref="P22:R22" si="2">SQRT(P11)</f>
        <v>442.00452486371677</v>
      </c>
      <c r="Q22" s="1">
        <f t="shared" si="2"/>
        <v>442</v>
      </c>
      <c r="R22" s="1">
        <f t="shared" si="2"/>
        <v>441.99547508996062</v>
      </c>
    </row>
    <row r="23" spans="6:20" x14ac:dyDescent="0.3">
      <c r="G23" s="1">
        <f t="shared" si="0"/>
        <v>441.99660632181332</v>
      </c>
      <c r="H23" s="1">
        <f t="shared" si="0"/>
        <v>441.99773755077075</v>
      </c>
      <c r="I23" s="1">
        <f t="shared" si="0"/>
        <v>442.00565607240821</v>
      </c>
      <c r="P23" s="1">
        <f t="shared" ref="P23:R23" si="3">SQRT(P12)</f>
        <v>441.99886877683298</v>
      </c>
      <c r="Q23" s="1">
        <f t="shared" si="3"/>
        <v>441.99773755077075</v>
      </c>
      <c r="R23" s="1">
        <f t="shared" si="3"/>
        <v>442.00339365213023</v>
      </c>
    </row>
    <row r="28" spans="6:20" x14ac:dyDescent="0.3">
      <c r="P28" s="10" t="s">
        <v>11</v>
      </c>
      <c r="Q28" s="10">
        <f>442*442</f>
        <v>195364</v>
      </c>
    </row>
    <row r="29" spans="6:20" x14ac:dyDescent="0.3">
      <c r="G29" s="10" t="s">
        <v>11</v>
      </c>
      <c r="H29" s="10">
        <f>442*442</f>
        <v>195364</v>
      </c>
    </row>
    <row r="31" spans="6:20" x14ac:dyDescent="0.3">
      <c r="P31" s="13">
        <v>-13</v>
      </c>
      <c r="Q31" s="13">
        <v>5</v>
      </c>
      <c r="R31" s="13">
        <v>8</v>
      </c>
    </row>
    <row r="32" spans="6:20" x14ac:dyDescent="0.3">
      <c r="G32" s="13">
        <v>-7</v>
      </c>
      <c r="H32" s="13">
        <v>4</v>
      </c>
      <c r="I32" s="13">
        <v>3</v>
      </c>
      <c r="P32" s="2"/>
      <c r="Q32" s="2"/>
      <c r="R32" s="2"/>
      <c r="T32">
        <f>SUM(R34,Q35,P36)</f>
        <v>586092</v>
      </c>
    </row>
    <row r="33" spans="6:20" x14ac:dyDescent="0.3">
      <c r="G33" s="2"/>
      <c r="H33" s="2"/>
      <c r="I33" s="2"/>
      <c r="K33">
        <f>SUM(I35,H36,G37)</f>
        <v>586092</v>
      </c>
    </row>
    <row r="34" spans="6:20" x14ac:dyDescent="0.3">
      <c r="P34" s="1">
        <f>Q28+P31</f>
        <v>195351</v>
      </c>
      <c r="Q34" s="1">
        <f>Q28+Q31</f>
        <v>195369</v>
      </c>
      <c r="R34" s="1">
        <f>Q28+R31</f>
        <v>195372</v>
      </c>
      <c r="T34">
        <f>SUM(P34:R34)</f>
        <v>586092</v>
      </c>
    </row>
    <row r="35" spans="6:20" x14ac:dyDescent="0.3">
      <c r="G35" s="1">
        <f>H29+G32</f>
        <v>195357</v>
      </c>
      <c r="H35" s="1">
        <f>H29+H32</f>
        <v>195368</v>
      </c>
      <c r="I35" s="1">
        <f>H29+I32</f>
        <v>195367</v>
      </c>
      <c r="K35">
        <f>SUM(G35:I35)</f>
        <v>586092</v>
      </c>
      <c r="O35" s="4" t="str">
        <f>"+21"</f>
        <v>+21</v>
      </c>
      <c r="P35" s="1">
        <f>Q28+O35</f>
        <v>195385</v>
      </c>
      <c r="Q35" s="14">
        <f>Q28</f>
        <v>195364</v>
      </c>
      <c r="R35" s="1">
        <f>Q28+S35</f>
        <v>195343</v>
      </c>
      <c r="S35" s="13">
        <f>-1*O35</f>
        <v>-21</v>
      </c>
      <c r="T35">
        <f>SUM(P35:R35)</f>
        <v>586092</v>
      </c>
    </row>
    <row r="36" spans="6:20" x14ac:dyDescent="0.3">
      <c r="F36" s="4" t="str">
        <f>"+10"</f>
        <v>+10</v>
      </c>
      <c r="G36" s="1">
        <f>H29+F36</f>
        <v>195374</v>
      </c>
      <c r="H36" s="14">
        <f>H29</f>
        <v>195364</v>
      </c>
      <c r="I36" s="1">
        <f>H29+J36</f>
        <v>195354</v>
      </c>
      <c r="J36" s="13">
        <f>-1*F36</f>
        <v>-10</v>
      </c>
      <c r="K36">
        <f>SUM(G36:I36)</f>
        <v>586092</v>
      </c>
      <c r="P36" s="1">
        <f>Q28+P39</f>
        <v>195356</v>
      </c>
      <c r="Q36" s="1">
        <f>Q28+Q39</f>
        <v>195359</v>
      </c>
      <c r="R36" s="1">
        <f>Q28+R39</f>
        <v>195377</v>
      </c>
      <c r="T36">
        <f>SUM(P36:R36)</f>
        <v>586092</v>
      </c>
    </row>
    <row r="37" spans="6:20" x14ac:dyDescent="0.3">
      <c r="G37" s="1">
        <f>H29+G40</f>
        <v>195361</v>
      </c>
      <c r="H37" s="1">
        <f>H29+H40</f>
        <v>195360</v>
      </c>
      <c r="I37" s="1">
        <f>H29+I40</f>
        <v>195371</v>
      </c>
      <c r="K37">
        <f>SUM(G37:I37)</f>
        <v>586092</v>
      </c>
    </row>
    <row r="39" spans="6:20" x14ac:dyDescent="0.3">
      <c r="P39" s="13">
        <f>-1*R31</f>
        <v>-8</v>
      </c>
      <c r="Q39" s="13">
        <f>-1*Q31</f>
        <v>-5</v>
      </c>
      <c r="R39" s="13">
        <f>-1*P31</f>
        <v>13</v>
      </c>
    </row>
    <row r="40" spans="6:20" x14ac:dyDescent="0.3">
      <c r="G40" s="13">
        <f>-1*I32</f>
        <v>-3</v>
      </c>
      <c r="H40" s="13">
        <f>-1*H32</f>
        <v>-4</v>
      </c>
      <c r="I40" s="13">
        <f>-1*G32</f>
        <v>7</v>
      </c>
    </row>
    <row r="41" spans="6:20" x14ac:dyDescent="0.3">
      <c r="P41">
        <f>SUM(P34:P36)</f>
        <v>586092</v>
      </c>
      <c r="Q41">
        <f>SUM(Q34:Q36)</f>
        <v>586092</v>
      </c>
      <c r="R41">
        <f>SUM(R34:R36)</f>
        <v>586092</v>
      </c>
      <c r="T41">
        <f>SUM(R36,Q35,P34)</f>
        <v>586092</v>
      </c>
    </row>
    <row r="42" spans="6:20" x14ac:dyDescent="0.3">
      <c r="G42">
        <f>SUM(G35:G37)</f>
        <v>586092</v>
      </c>
      <c r="H42">
        <f>SUM(H35:H37)</f>
        <v>586092</v>
      </c>
      <c r="I42">
        <f>SUM(I35:I37)</f>
        <v>586092</v>
      </c>
      <c r="K42">
        <f>SUM(I37,H36,G35)</f>
        <v>586092</v>
      </c>
    </row>
    <row r="45" spans="6:20" x14ac:dyDescent="0.3">
      <c r="O45" s="12" t="s">
        <v>13</v>
      </c>
      <c r="P45" s="1">
        <f t="shared" ref="P45:Q45" si="4">SQRT(P34)</f>
        <v>441.98529387299754</v>
      </c>
      <c r="Q45" s="1">
        <f t="shared" si="4"/>
        <v>442.00565607240821</v>
      </c>
      <c r="R45" s="1">
        <f>SQRT(R34)</f>
        <v>442.00904968111229</v>
      </c>
    </row>
    <row r="46" spans="6:20" x14ac:dyDescent="0.3">
      <c r="F46" s="12" t="s">
        <v>13</v>
      </c>
      <c r="G46" s="1">
        <f t="shared" ref="G46:H46" si="5">SQRT(G35)</f>
        <v>441.99208137703101</v>
      </c>
      <c r="H46" s="1">
        <f t="shared" si="5"/>
        <v>442.00452486371677</v>
      </c>
      <c r="I46" s="1">
        <f>SQRT(I35)</f>
        <v>442.00339365213023</v>
      </c>
      <c r="P46" s="1">
        <f t="shared" ref="P46:R46" si="6">SQRT(P35)</f>
        <v>442.02375501775919</v>
      </c>
      <c r="Q46" s="1">
        <f t="shared" si="6"/>
        <v>442</v>
      </c>
      <c r="R46" s="1">
        <f t="shared" si="6"/>
        <v>441.97624370547339</v>
      </c>
    </row>
    <row r="47" spans="6:20" x14ac:dyDescent="0.3">
      <c r="G47" s="1">
        <f t="shared" ref="G47:I47" si="7">SQRT(G36)</f>
        <v>442.01131207244009</v>
      </c>
      <c r="H47" s="1">
        <f t="shared" si="7"/>
        <v>442</v>
      </c>
      <c r="I47" s="1">
        <f t="shared" si="7"/>
        <v>441.98868763804353</v>
      </c>
      <c r="P47" s="1">
        <f t="shared" ref="P47:R47" si="8">SQRT(P36)</f>
        <v>441.99095013359721</v>
      </c>
      <c r="Q47" s="1">
        <f t="shared" si="8"/>
        <v>441.99434385521272</v>
      </c>
      <c r="R47" s="1">
        <f t="shared" si="8"/>
        <v>442.01470563771971</v>
      </c>
    </row>
    <row r="48" spans="6:20" x14ac:dyDescent="0.3">
      <c r="G48" s="1">
        <f t="shared" ref="G48:I48" si="9">SQRT(G37)</f>
        <v>441.99660632181332</v>
      </c>
      <c r="H48" s="1">
        <f t="shared" si="9"/>
        <v>441.99547508996062</v>
      </c>
      <c r="I48" s="1">
        <f t="shared" si="9"/>
        <v>442.00791848110595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F167-0E1F-43C2-AC8F-4CD833869382}">
  <dimension ref="B7:AA53"/>
  <sheetViews>
    <sheetView zoomScale="88" zoomScaleNormal="88" workbookViewId="0">
      <selection activeCell="B5" sqref="B5:L27"/>
    </sheetView>
  </sheetViews>
  <sheetFormatPr defaultRowHeight="14.4" x14ac:dyDescent="0.3"/>
  <cols>
    <col min="2" max="2" width="6.109375" customWidth="1"/>
    <col min="3" max="3" width="9.21875" customWidth="1"/>
    <col min="4" max="4" width="5.44140625" customWidth="1"/>
    <col min="17" max="17" width="8.88671875" customWidth="1"/>
    <col min="19" max="19" width="8.88671875" customWidth="1"/>
  </cols>
  <sheetData>
    <row r="7" spans="2:27" x14ac:dyDescent="0.3">
      <c r="F7" s="10" t="s">
        <v>11</v>
      </c>
      <c r="G7" s="10">
        <f>442*442</f>
        <v>195364</v>
      </c>
      <c r="P7" s="10" t="s">
        <v>11</v>
      </c>
      <c r="Q7" s="10">
        <f>442*442</f>
        <v>195364</v>
      </c>
    </row>
    <row r="9" spans="2:27" x14ac:dyDescent="0.3">
      <c r="Z9" t="s">
        <v>30</v>
      </c>
    </row>
    <row r="10" spans="2:27" x14ac:dyDescent="0.3">
      <c r="B10" s="12" t="s">
        <v>14</v>
      </c>
      <c r="C10">
        <f>SUM(F10:H10)</f>
        <v>-183840</v>
      </c>
      <c r="F10" s="13">
        <v>-154560</v>
      </c>
      <c r="G10" s="13">
        <v>162240</v>
      </c>
      <c r="H10" s="13">
        <v>-191520</v>
      </c>
      <c r="P10" s="13">
        <v>-154560</v>
      </c>
      <c r="Q10" s="13">
        <v>162240</v>
      </c>
      <c r="R10" s="13">
        <v>-191520</v>
      </c>
      <c r="Z10" t="s">
        <v>28</v>
      </c>
    </row>
    <row r="11" spans="2:27" x14ac:dyDescent="0.3">
      <c r="F11" s="2" t="s">
        <v>16</v>
      </c>
      <c r="G11" s="2" t="s">
        <v>17</v>
      </c>
      <c r="H11" s="2" t="s">
        <v>18</v>
      </c>
      <c r="J11">
        <f>SUM(H13,G14,F15)</f>
        <v>586092</v>
      </c>
      <c r="P11" s="2"/>
      <c r="Q11" s="2"/>
      <c r="R11" s="2"/>
      <c r="T11">
        <f>SUM(R13,Q14,P15)</f>
        <v>586092</v>
      </c>
      <c r="Z11" t="s">
        <v>31</v>
      </c>
      <c r="AA11" t="s">
        <v>29</v>
      </c>
    </row>
    <row r="12" spans="2:27" x14ac:dyDescent="0.3">
      <c r="L12" s="12" t="s">
        <v>15</v>
      </c>
    </row>
    <row r="13" spans="2:27" x14ac:dyDescent="0.3">
      <c r="F13" s="1">
        <f>G7+F10</f>
        <v>40804</v>
      </c>
      <c r="G13" s="1">
        <f>G7+G10</f>
        <v>357604</v>
      </c>
      <c r="H13" s="1">
        <f>G7+H10</f>
        <v>3844</v>
      </c>
      <c r="J13">
        <f>SUM(F13:H13)</f>
        <v>402252</v>
      </c>
      <c r="L13">
        <f>G20-J13</f>
        <v>183840</v>
      </c>
      <c r="P13" s="1">
        <f>Q7+P10</f>
        <v>40804</v>
      </c>
      <c r="Q13" s="1">
        <f>Q7+Q10</f>
        <v>357604</v>
      </c>
      <c r="R13" s="1">
        <f>Q7+R10</f>
        <v>3844</v>
      </c>
      <c r="T13">
        <f>SUM(P13:R13)</f>
        <v>402252</v>
      </c>
    </row>
    <row r="14" spans="2:27" x14ac:dyDescent="0.3">
      <c r="E14" s="4">
        <f>H10+ABS(F10)</f>
        <v>-36960</v>
      </c>
      <c r="F14" s="1">
        <f>G7+E14</f>
        <v>158404</v>
      </c>
      <c r="G14" s="14">
        <f>G7</f>
        <v>195364</v>
      </c>
      <c r="H14" s="1">
        <f>G7+I14</f>
        <v>232324</v>
      </c>
      <c r="I14" s="13">
        <f>-1*E14</f>
        <v>36960</v>
      </c>
      <c r="J14">
        <f>SUM(F14:H14)</f>
        <v>586092</v>
      </c>
      <c r="O14" s="4">
        <f>R10+ABS(P10)</f>
        <v>-36960</v>
      </c>
      <c r="P14" s="1">
        <f>Q7+O14</f>
        <v>158404</v>
      </c>
      <c r="Q14" s="14">
        <f>Q7</f>
        <v>195364</v>
      </c>
      <c r="R14" s="1">
        <f>Q7+S14</f>
        <v>232324</v>
      </c>
      <c r="S14" s="13">
        <f>-1*O14</f>
        <v>36960</v>
      </c>
      <c r="T14">
        <f>SUM(P14:R14)</f>
        <v>586092</v>
      </c>
    </row>
    <row r="15" spans="2:27" x14ac:dyDescent="0.3">
      <c r="F15" s="1">
        <f>G7+F18</f>
        <v>386884</v>
      </c>
      <c r="G15" s="1">
        <f>G7+G18</f>
        <v>33124</v>
      </c>
      <c r="H15" s="1">
        <f>G7+H18</f>
        <v>349924</v>
      </c>
      <c r="J15">
        <f>SUM(F15:H15)</f>
        <v>769932</v>
      </c>
      <c r="L15">
        <f>G20-J15</f>
        <v>-183840</v>
      </c>
      <c r="P15" s="1">
        <f>Q7+P18</f>
        <v>386884</v>
      </c>
      <c r="Q15" s="1">
        <f>Q7+Q18</f>
        <v>33124</v>
      </c>
      <c r="R15" s="1">
        <f>Q7+R18</f>
        <v>349924</v>
      </c>
      <c r="T15">
        <f>SUM(P15:R15)</f>
        <v>769932</v>
      </c>
    </row>
    <row r="18" spans="5:26" x14ac:dyDescent="0.3">
      <c r="F18" s="13">
        <f>-1*H10</f>
        <v>191520</v>
      </c>
      <c r="G18" s="13">
        <f>-1*G10</f>
        <v>-162240</v>
      </c>
      <c r="H18" s="13">
        <f>-1*F10</f>
        <v>154560</v>
      </c>
      <c r="P18" s="13">
        <f>-1*R10</f>
        <v>191520</v>
      </c>
      <c r="Q18" s="13">
        <f>-1*Q10</f>
        <v>-162240</v>
      </c>
      <c r="R18" s="13">
        <f>-1*P10</f>
        <v>154560</v>
      </c>
    </row>
    <row r="20" spans="5:26" x14ac:dyDescent="0.3">
      <c r="F20">
        <f>SUM(F13:F15)</f>
        <v>586092</v>
      </c>
      <c r="G20">
        <f>SUM(G13:G15)</f>
        <v>586092</v>
      </c>
      <c r="H20">
        <f>SUM(H13:H15)</f>
        <v>586092</v>
      </c>
      <c r="J20">
        <f>SUM(H15,G14,F13)</f>
        <v>586092</v>
      </c>
      <c r="P20">
        <f>SUM(P13:P15)</f>
        <v>586092</v>
      </c>
      <c r="Q20">
        <f>SUM(Q13:Q15)</f>
        <v>586092</v>
      </c>
      <c r="R20">
        <f>SUM(R13:R15)</f>
        <v>586092</v>
      </c>
      <c r="T20">
        <f>SUM(R15,Q14,P13)</f>
        <v>586092</v>
      </c>
    </row>
    <row r="24" spans="5:26" x14ac:dyDescent="0.3">
      <c r="E24" s="12" t="s">
        <v>13</v>
      </c>
      <c r="F24" s="1">
        <f t="shared" ref="F24:H26" si="0">SQRT(F13)</f>
        <v>202</v>
      </c>
      <c r="G24" s="1">
        <f t="shared" si="0"/>
        <v>598</v>
      </c>
      <c r="H24" s="1">
        <f>SQRT(H13)</f>
        <v>62</v>
      </c>
      <c r="P24" s="1">
        <f t="shared" ref="P24:Q24" si="1">SQRT(P13)</f>
        <v>202</v>
      </c>
      <c r="Q24" s="1">
        <f t="shared" si="1"/>
        <v>598</v>
      </c>
      <c r="R24" s="1">
        <f>SQRT(R13)</f>
        <v>62</v>
      </c>
    </row>
    <row r="25" spans="5:26" x14ac:dyDescent="0.3">
      <c r="F25" s="1">
        <f t="shared" si="0"/>
        <v>398</v>
      </c>
      <c r="G25" s="1">
        <f t="shared" si="0"/>
        <v>442</v>
      </c>
      <c r="H25" s="1">
        <f t="shared" si="0"/>
        <v>482</v>
      </c>
      <c r="P25" s="1">
        <f t="shared" ref="P25:R25" si="2">SQRT(P14)</f>
        <v>398</v>
      </c>
      <c r="Q25" s="1">
        <f t="shared" si="2"/>
        <v>442</v>
      </c>
      <c r="R25" s="1">
        <f t="shared" si="2"/>
        <v>482</v>
      </c>
    </row>
    <row r="26" spans="5:26" x14ac:dyDescent="0.3">
      <c r="F26" s="1">
        <f t="shared" si="0"/>
        <v>622</v>
      </c>
      <c r="G26" s="1">
        <f t="shared" si="0"/>
        <v>182</v>
      </c>
      <c r="H26" s="1">
        <f t="shared" si="0"/>
        <v>591.54374309935861</v>
      </c>
      <c r="P26" s="1">
        <f t="shared" ref="P26:R26" si="3">SQRT(P15)</f>
        <v>622</v>
      </c>
      <c r="Q26" s="1">
        <f t="shared" si="3"/>
        <v>182</v>
      </c>
      <c r="R26" s="1">
        <f t="shared" si="3"/>
        <v>591.54374309935861</v>
      </c>
      <c r="Z26">
        <f>591*591</f>
        <v>349281</v>
      </c>
    </row>
    <row r="34" spans="3:21" x14ac:dyDescent="0.3">
      <c r="F34" s="10" t="s">
        <v>11</v>
      </c>
      <c r="G34" s="10">
        <f>4225</f>
        <v>4225</v>
      </c>
      <c r="Q34" s="10" t="s">
        <v>11</v>
      </c>
      <c r="R34" s="10">
        <v>1265625</v>
      </c>
    </row>
    <row r="37" spans="3:21" x14ac:dyDescent="0.3">
      <c r="C37" t="s">
        <v>12</v>
      </c>
      <c r="D37">
        <f>SUM(F37:H37)</f>
        <v>8712</v>
      </c>
      <c r="F37" s="13">
        <v>2016</v>
      </c>
      <c r="G37" s="13">
        <v>3000</v>
      </c>
      <c r="H37" s="13">
        <v>3696</v>
      </c>
      <c r="N37" t="s">
        <v>12</v>
      </c>
      <c r="O37">
        <f>SUM(Q37:S37)</f>
        <v>0</v>
      </c>
      <c r="Q37" s="13">
        <v>-453824</v>
      </c>
      <c r="R37" s="13">
        <v>1058400</v>
      </c>
      <c r="S37" s="13">
        <v>-604576</v>
      </c>
    </row>
    <row r="38" spans="3:21" x14ac:dyDescent="0.3">
      <c r="F38" s="2"/>
      <c r="G38" s="2"/>
      <c r="H38" s="2"/>
      <c r="J38">
        <f>SUM(H40,G41,F42)</f>
        <v>12675</v>
      </c>
      <c r="Q38" s="2"/>
      <c r="R38" s="2"/>
      <c r="S38" s="2"/>
      <c r="U38">
        <f>SUM(S40,R41,Q42)</f>
        <v>3796875</v>
      </c>
    </row>
    <row r="40" spans="3:21" x14ac:dyDescent="0.3">
      <c r="F40" s="15">
        <f>G34+F37</f>
        <v>6241</v>
      </c>
      <c r="G40" s="15">
        <f>G34+G37</f>
        <v>7225</v>
      </c>
      <c r="H40" s="15">
        <f>G34+H37</f>
        <v>7921</v>
      </c>
      <c r="J40">
        <f>SUM(F40:H40)</f>
        <v>21387</v>
      </c>
      <c r="Q40" s="15">
        <f>R34+Q37</f>
        <v>811801</v>
      </c>
      <c r="R40" s="15">
        <f>R34+R37</f>
        <v>2324025</v>
      </c>
      <c r="S40" s="15">
        <f>R34+S37</f>
        <v>661049</v>
      </c>
      <c r="U40">
        <f>SUM(Q40:S40)</f>
        <v>3796875</v>
      </c>
    </row>
    <row r="41" spans="3:21" x14ac:dyDescent="0.3">
      <c r="E41" s="4">
        <f>H37+ABS(F37)</f>
        <v>5712</v>
      </c>
      <c r="F41" s="1">
        <f>G34+E41</f>
        <v>9937</v>
      </c>
      <c r="G41" s="14">
        <f>G34</f>
        <v>4225</v>
      </c>
      <c r="H41" s="1">
        <f>G34+I41</f>
        <v>-1487</v>
      </c>
      <c r="I41" s="13">
        <f>-1*E41</f>
        <v>-5712</v>
      </c>
      <c r="J41">
        <f>SUM(F41:H41)</f>
        <v>12675</v>
      </c>
      <c r="P41" s="4">
        <f>S37+ABS(Q37)</f>
        <v>-150752</v>
      </c>
      <c r="Q41" s="1">
        <f>R34+P41</f>
        <v>1114873</v>
      </c>
      <c r="R41" s="14">
        <f>R34</f>
        <v>1265625</v>
      </c>
      <c r="S41" s="1">
        <f>R34+T41</f>
        <v>1416377</v>
      </c>
      <c r="T41" s="13">
        <f>-1*P41</f>
        <v>150752</v>
      </c>
      <c r="U41">
        <f>SUM(Q41:S41)</f>
        <v>3796875</v>
      </c>
    </row>
    <row r="42" spans="3:21" x14ac:dyDescent="0.3">
      <c r="F42" s="1">
        <f>G34+F45</f>
        <v>529</v>
      </c>
      <c r="G42" s="1">
        <f>G34+G45</f>
        <v>1225</v>
      </c>
      <c r="H42" s="1">
        <f>G34+H45</f>
        <v>2209</v>
      </c>
      <c r="J42">
        <f>SUM(F42:H42)</f>
        <v>3963</v>
      </c>
      <c r="Q42" s="1">
        <f>R34+Q45</f>
        <v>1870201</v>
      </c>
      <c r="R42" s="1">
        <f>R34+R45</f>
        <v>207225</v>
      </c>
      <c r="S42" s="1">
        <f>R34+S45</f>
        <v>1719449</v>
      </c>
      <c r="U42">
        <f>SUM(Q42:S42)</f>
        <v>3796875</v>
      </c>
    </row>
    <row r="45" spans="3:21" x14ac:dyDescent="0.3">
      <c r="F45" s="13">
        <f>-1*H37</f>
        <v>-3696</v>
      </c>
      <c r="G45" s="13">
        <f>-1*G37</f>
        <v>-3000</v>
      </c>
      <c r="H45" s="13">
        <f>-1*F37</f>
        <v>-2016</v>
      </c>
      <c r="Q45" s="13">
        <f>-1*S37</f>
        <v>604576</v>
      </c>
      <c r="R45" s="13">
        <f>-1*R37</f>
        <v>-1058400</v>
      </c>
      <c r="S45" s="13">
        <f>-1*Q37</f>
        <v>453824</v>
      </c>
    </row>
    <row r="47" spans="3:21" x14ac:dyDescent="0.3">
      <c r="F47">
        <f>SUM(F40:F42)</f>
        <v>16707</v>
      </c>
      <c r="G47">
        <f>SUM(G40:G42)</f>
        <v>12675</v>
      </c>
      <c r="H47">
        <f>SUM(H40:H42)</f>
        <v>8643</v>
      </c>
      <c r="J47">
        <f>SUM(H42,G41,F40)</f>
        <v>12675</v>
      </c>
      <c r="Q47">
        <f>SUM(Q40:Q42)</f>
        <v>3796875</v>
      </c>
      <c r="R47">
        <f>SUM(R40:R42)</f>
        <v>3796875</v>
      </c>
      <c r="S47">
        <f>SUM(S40:S42)</f>
        <v>3796875</v>
      </c>
      <c r="U47">
        <f>SUM(S42,R41,Q40)</f>
        <v>3796875</v>
      </c>
    </row>
    <row r="51" spans="5:19" x14ac:dyDescent="0.3">
      <c r="E51" s="12" t="s">
        <v>13</v>
      </c>
      <c r="F51" s="1">
        <f t="shared" ref="F51:G51" si="4">SQRT(F40)</f>
        <v>79</v>
      </c>
      <c r="G51" s="1">
        <f t="shared" si="4"/>
        <v>85</v>
      </c>
      <c r="H51" s="1">
        <f>SQRT(H40)</f>
        <v>89</v>
      </c>
      <c r="P51" s="12" t="s">
        <v>13</v>
      </c>
      <c r="Q51" s="1">
        <f t="shared" ref="Q51:R51" si="5">SQRT(Q40)</f>
        <v>901</v>
      </c>
      <c r="R51" s="1">
        <f t="shared" si="5"/>
        <v>1524.475319577198</v>
      </c>
      <c r="S51" s="1">
        <f>SQRT(S40)</f>
        <v>813.04919900335676</v>
      </c>
    </row>
    <row r="52" spans="5:19" x14ac:dyDescent="0.3">
      <c r="F52" s="1">
        <f t="shared" ref="F52:H52" si="6">SQRT(F41)</f>
        <v>99.684502306025479</v>
      </c>
      <c r="G52" s="1">
        <f t="shared" si="6"/>
        <v>65</v>
      </c>
      <c r="H52" s="1" t="e">
        <f t="shared" si="6"/>
        <v>#NUM!</v>
      </c>
      <c r="Q52" s="1">
        <f t="shared" ref="Q52:S52" si="7">SQRT(Q41)</f>
        <v>1055.8754661417227</v>
      </c>
      <c r="R52" s="1">
        <f t="shared" si="7"/>
        <v>1125</v>
      </c>
      <c r="S52" s="1">
        <f t="shared" si="7"/>
        <v>1190.1163808636531</v>
      </c>
    </row>
    <row r="53" spans="5:19" x14ac:dyDescent="0.3">
      <c r="F53" s="1">
        <f t="shared" ref="F53:H53" si="8">SQRT(F42)</f>
        <v>23</v>
      </c>
      <c r="G53" s="1">
        <f t="shared" si="8"/>
        <v>35</v>
      </c>
      <c r="H53" s="1">
        <f t="shared" si="8"/>
        <v>47</v>
      </c>
      <c r="Q53" s="1">
        <f t="shared" ref="Q53:S53" si="9">SQRT(Q42)</f>
        <v>1367.5529240215897</v>
      </c>
      <c r="R53" s="1">
        <f t="shared" si="9"/>
        <v>455.21972716480553</v>
      </c>
      <c r="S53" s="1">
        <f t="shared" si="9"/>
        <v>1311.2776212534095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3CBD-3EE2-4BEB-A884-F40816EC3A68}">
  <dimension ref="E7:O26"/>
  <sheetViews>
    <sheetView workbookViewId="0">
      <selection activeCell="J11" sqref="J11"/>
    </sheetView>
  </sheetViews>
  <sheetFormatPr defaultRowHeight="14.4" x14ac:dyDescent="0.3"/>
  <cols>
    <col min="8" max="8" width="12.5546875" bestFit="1" customWidth="1"/>
    <col min="9" max="9" width="15.88671875" customWidth="1"/>
    <col min="10" max="10" width="10" bestFit="1" customWidth="1"/>
    <col min="11" max="11" width="16.109375" customWidth="1"/>
    <col min="13" max="13" width="12.5546875" bestFit="1" customWidth="1"/>
    <col min="15" max="15" width="13.33203125" bestFit="1" customWidth="1"/>
  </cols>
  <sheetData>
    <row r="7" spans="5:15" x14ac:dyDescent="0.3">
      <c r="I7" s="10" t="s">
        <v>11</v>
      </c>
      <c r="J7" s="10">
        <f>10000*10000</f>
        <v>100000000</v>
      </c>
    </row>
    <row r="10" spans="5:15" x14ac:dyDescent="0.3">
      <c r="E10" s="12" t="s">
        <v>14</v>
      </c>
      <c r="F10">
        <f>SUM(I10:K10)</f>
        <v>240420864</v>
      </c>
      <c r="I10" s="13">
        <v>53760000</v>
      </c>
      <c r="J10" s="13">
        <v>90660864</v>
      </c>
      <c r="K10" s="13">
        <v>96000000</v>
      </c>
    </row>
    <row r="11" spans="5:15" x14ac:dyDescent="0.3">
      <c r="I11" s="2" t="s">
        <v>16</v>
      </c>
      <c r="J11" s="2" t="s">
        <v>17</v>
      </c>
      <c r="K11" s="2" t="s">
        <v>18</v>
      </c>
      <c r="M11" s="22">
        <f>SUM(K13,J14,I15)</f>
        <v>300000000</v>
      </c>
    </row>
    <row r="12" spans="5:15" x14ac:dyDescent="0.3">
      <c r="M12" s="22"/>
      <c r="O12" s="12" t="s">
        <v>15</v>
      </c>
    </row>
    <row r="13" spans="5:15" x14ac:dyDescent="0.3">
      <c r="I13" s="1">
        <f>J7+I10</f>
        <v>153760000</v>
      </c>
      <c r="J13" s="1">
        <f>J7+J10</f>
        <v>190660864</v>
      </c>
      <c r="K13" s="1">
        <f>J7+K10</f>
        <v>196000000</v>
      </c>
      <c r="M13" s="22">
        <f>SUM(I13:K13)</f>
        <v>540420864</v>
      </c>
      <c r="O13" s="22">
        <f>J20-M13</f>
        <v>-240420864</v>
      </c>
    </row>
    <row r="14" spans="5:15" x14ac:dyDescent="0.3">
      <c r="H14" s="23">
        <f>65894400</f>
        <v>65894400</v>
      </c>
      <c r="I14" s="1">
        <f>J7+H14</f>
        <v>165894400</v>
      </c>
      <c r="J14" s="14">
        <f>J7</f>
        <v>100000000</v>
      </c>
      <c r="K14" s="1">
        <f>J7+L14</f>
        <v>34105600</v>
      </c>
      <c r="L14" s="13">
        <f>-1*H14</f>
        <v>-65894400</v>
      </c>
      <c r="M14" s="22">
        <f>SUM(I14:K14)</f>
        <v>300000000</v>
      </c>
      <c r="O14" s="22"/>
    </row>
    <row r="15" spans="5:15" x14ac:dyDescent="0.3">
      <c r="I15" s="1">
        <f>J7+I18</f>
        <v>4000000</v>
      </c>
      <c r="J15" s="1">
        <f>J7+J18</f>
        <v>9339136</v>
      </c>
      <c r="K15" s="1">
        <f>J7+K18</f>
        <v>46240000</v>
      </c>
      <c r="M15" s="22">
        <f>SUM(I15:K15)</f>
        <v>59579136</v>
      </c>
      <c r="O15" s="22">
        <f>J20-M15</f>
        <v>240420864</v>
      </c>
    </row>
    <row r="16" spans="5:15" x14ac:dyDescent="0.3">
      <c r="M16" s="22"/>
    </row>
    <row r="17" spans="8:13" x14ac:dyDescent="0.3">
      <c r="M17" s="22"/>
    </row>
    <row r="18" spans="8:13" x14ac:dyDescent="0.3">
      <c r="I18" s="13">
        <f>-1*K10</f>
        <v>-96000000</v>
      </c>
      <c r="J18" s="13">
        <f>-1*J10</f>
        <v>-90660864</v>
      </c>
      <c r="K18" s="13">
        <f>-1*I10</f>
        <v>-53760000</v>
      </c>
      <c r="M18" s="22"/>
    </row>
    <row r="19" spans="8:13" x14ac:dyDescent="0.3">
      <c r="M19" s="22"/>
    </row>
    <row r="20" spans="8:13" x14ac:dyDescent="0.3">
      <c r="I20">
        <f>SUM(I13:I15)</f>
        <v>323654400</v>
      </c>
      <c r="J20">
        <f>SUM(J13:J15)</f>
        <v>300000000</v>
      </c>
      <c r="K20">
        <f>SUM(K13:K15)</f>
        <v>276345600</v>
      </c>
      <c r="M20" s="22">
        <f>SUM(K15,J14,I13)</f>
        <v>300000000</v>
      </c>
    </row>
    <row r="24" spans="8:13" x14ac:dyDescent="0.3">
      <c r="H24" s="12" t="s">
        <v>13</v>
      </c>
      <c r="I24" s="1">
        <f t="shared" ref="I24:K26" si="0">SQRT(I13)</f>
        <v>12400</v>
      </c>
      <c r="J24" s="1">
        <f t="shared" si="0"/>
        <v>13808</v>
      </c>
      <c r="K24" s="1">
        <f>SQRT(K13)</f>
        <v>14000</v>
      </c>
    </row>
    <row r="25" spans="8:13" x14ac:dyDescent="0.3">
      <c r="I25" s="1">
        <f t="shared" si="0"/>
        <v>12880</v>
      </c>
      <c r="J25" s="1">
        <f t="shared" si="0"/>
        <v>10000</v>
      </c>
      <c r="K25" s="1">
        <f t="shared" si="0"/>
        <v>5840</v>
      </c>
    </row>
    <row r="26" spans="8:13" x14ac:dyDescent="0.3">
      <c r="I26" s="1">
        <f t="shared" si="0"/>
        <v>2000</v>
      </c>
      <c r="J26" s="1">
        <f t="shared" si="0"/>
        <v>3056</v>
      </c>
      <c r="K26" s="1">
        <f t="shared" si="0"/>
        <v>6800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FC4E-2C9B-4F6B-9128-311DBDAE4792}">
  <dimension ref="C9:M28"/>
  <sheetViews>
    <sheetView workbookViewId="0">
      <selection activeCell="K16" sqref="K16"/>
    </sheetView>
  </sheetViews>
  <sheetFormatPr defaultRowHeight="14.4" x14ac:dyDescent="0.3"/>
  <cols>
    <col min="4" max="4" width="16.6640625" customWidth="1"/>
    <col min="6" max="6" width="16.6640625" bestFit="1" customWidth="1"/>
    <col min="7" max="7" width="17" customWidth="1"/>
    <col min="8" max="8" width="21.44140625" customWidth="1"/>
    <col min="9" max="9" width="25" customWidth="1"/>
    <col min="10" max="10" width="19.77734375" customWidth="1"/>
    <col min="11" max="11" width="24.77734375" customWidth="1"/>
    <col min="12" max="12" width="16.6640625" bestFit="1" customWidth="1"/>
    <col min="13" max="13" width="24.88671875" customWidth="1"/>
    <col min="14" max="14" width="21" customWidth="1"/>
    <col min="16" max="16" width="16.6640625" bestFit="1" customWidth="1"/>
    <col min="18" max="18" width="10.21875" bestFit="1" customWidth="1"/>
  </cols>
  <sheetData>
    <row r="9" spans="3:13" x14ac:dyDescent="0.3">
      <c r="G9" s="10" t="s">
        <v>11</v>
      </c>
      <c r="H9" s="18">
        <f>1185665*1185665</f>
        <v>1405801492225</v>
      </c>
    </row>
    <row r="12" spans="3:13" x14ac:dyDescent="0.3">
      <c r="C12" s="12" t="s">
        <v>14</v>
      </c>
      <c r="D12">
        <f>SUM(G12:I12)</f>
        <v>-438616987848</v>
      </c>
      <c r="G12" s="21">
        <v>29438448000</v>
      </c>
      <c r="H12" s="21">
        <v>18619274856</v>
      </c>
      <c r="I12" s="21">
        <v>-486674710704</v>
      </c>
    </row>
    <row r="13" spans="3:13" x14ac:dyDescent="0.3">
      <c r="G13" s="2" t="s">
        <v>16</v>
      </c>
      <c r="H13" s="2" t="s">
        <v>17</v>
      </c>
      <c r="I13" s="2" t="s">
        <v>18</v>
      </c>
      <c r="K13" s="22">
        <f>SUM(I15,H16,G17)</f>
        <v>4217404476675</v>
      </c>
    </row>
    <row r="14" spans="3:13" x14ac:dyDescent="0.3">
      <c r="K14" s="22"/>
      <c r="M14" s="12" t="s">
        <v>15</v>
      </c>
    </row>
    <row r="15" spans="3:13" x14ac:dyDescent="0.3">
      <c r="G15" s="19">
        <f>H9+G12</f>
        <v>1435239940225</v>
      </c>
      <c r="H15" s="19">
        <f>H9+H12</f>
        <v>1424420767081</v>
      </c>
      <c r="I15" s="19">
        <f>H9+I12</f>
        <v>919126781521</v>
      </c>
      <c r="K15" s="22">
        <f>SUM(G15:I15)</f>
        <v>3778787488827</v>
      </c>
      <c r="M15" s="22">
        <f>H22-K15</f>
        <v>438616987848</v>
      </c>
    </row>
    <row r="16" spans="3:13" x14ac:dyDescent="0.3">
      <c r="F16" s="23">
        <f>441310545000</f>
        <v>441310545000</v>
      </c>
      <c r="G16" s="19">
        <f>H9+F16</f>
        <v>1847112037225</v>
      </c>
      <c r="H16" s="20">
        <f>H9</f>
        <v>1405801492225</v>
      </c>
      <c r="I16" s="19">
        <f>H9+J16</f>
        <v>964490947225</v>
      </c>
      <c r="J16" s="21">
        <f>-1*F16</f>
        <v>-441310545000</v>
      </c>
      <c r="K16" s="22">
        <f>SUM(G16:I16)</f>
        <v>4217404476675</v>
      </c>
      <c r="M16" s="22"/>
    </row>
    <row r="17" spans="6:13" x14ac:dyDescent="0.3">
      <c r="G17" s="19">
        <f>H9+G20</f>
        <v>1892476202929</v>
      </c>
      <c r="H17" s="19">
        <f>H9+H20</f>
        <v>1387182217369</v>
      </c>
      <c r="I17" s="19">
        <f>H9+I20</f>
        <v>1376363044225</v>
      </c>
      <c r="K17" s="22">
        <f>SUM(G17:I17)</f>
        <v>4656021464523</v>
      </c>
      <c r="M17" s="22">
        <f>H22-K17</f>
        <v>-438616987848</v>
      </c>
    </row>
    <row r="18" spans="6:13" x14ac:dyDescent="0.3">
      <c r="K18" s="22"/>
    </row>
    <row r="19" spans="6:13" x14ac:dyDescent="0.3">
      <c r="K19" s="22"/>
    </row>
    <row r="20" spans="6:13" x14ac:dyDescent="0.3">
      <c r="G20" s="21">
        <f>-1*I12</f>
        <v>486674710704</v>
      </c>
      <c r="H20" s="21">
        <f>-1*H12</f>
        <v>-18619274856</v>
      </c>
      <c r="I20" s="21">
        <f>-1*G12</f>
        <v>-29438448000</v>
      </c>
      <c r="K20" s="22"/>
    </row>
    <row r="21" spans="6:13" x14ac:dyDescent="0.3">
      <c r="G21" s="22"/>
      <c r="H21" s="22"/>
      <c r="I21" s="22"/>
      <c r="K21" s="22"/>
    </row>
    <row r="22" spans="6:13" x14ac:dyDescent="0.3">
      <c r="G22" s="22">
        <f>SUM(G15:G17)</f>
        <v>5174828180379</v>
      </c>
      <c r="H22" s="22">
        <f>SUM(H15:H17)</f>
        <v>4217404476675</v>
      </c>
      <c r="I22" s="22">
        <f>SUM(I15:I17)</f>
        <v>3259980772971</v>
      </c>
      <c r="K22" s="22">
        <f>SUM(I17,H16,G15)</f>
        <v>4217404476675</v>
      </c>
    </row>
    <row r="23" spans="6:13" x14ac:dyDescent="0.3">
      <c r="G23" s="22"/>
      <c r="H23" s="22"/>
      <c r="I23" s="22"/>
    </row>
    <row r="24" spans="6:13" x14ac:dyDescent="0.3">
      <c r="G24" s="22"/>
      <c r="H24" s="22"/>
      <c r="I24" s="22"/>
    </row>
    <row r="25" spans="6:13" x14ac:dyDescent="0.3">
      <c r="G25" s="22"/>
      <c r="H25" s="22"/>
      <c r="I25" s="22"/>
    </row>
    <row r="26" spans="6:13" x14ac:dyDescent="0.3">
      <c r="F26" s="12" t="s">
        <v>13</v>
      </c>
      <c r="G26" s="19">
        <f t="shared" ref="G26:I28" si="0">SQRT(G15)</f>
        <v>1198015</v>
      </c>
      <c r="H26" s="19">
        <f t="shared" si="0"/>
        <v>1193491</v>
      </c>
      <c r="I26" s="19">
        <f>SQRT(I15)</f>
        <v>958711</v>
      </c>
    </row>
    <row r="27" spans="6:13" x14ac:dyDescent="0.3">
      <c r="G27" s="19">
        <f t="shared" si="0"/>
        <v>1359085</v>
      </c>
      <c r="H27" s="19">
        <f t="shared" si="0"/>
        <v>1185665</v>
      </c>
      <c r="I27" s="19">
        <f t="shared" si="0"/>
        <v>982085</v>
      </c>
    </row>
    <row r="28" spans="6:13" x14ac:dyDescent="0.3">
      <c r="G28" s="19">
        <f t="shared" si="0"/>
        <v>1375673</v>
      </c>
      <c r="H28" s="19">
        <f t="shared" si="0"/>
        <v>1177787</v>
      </c>
      <c r="I28" s="19">
        <f t="shared" si="0"/>
        <v>1173185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6AD2-9BF2-4986-8FB1-1275EDF0AF95}">
  <dimension ref="C8:Q43"/>
  <sheetViews>
    <sheetView topLeftCell="A4" workbookViewId="0">
      <selection activeCell="G6" sqref="G6:Q28"/>
    </sheetView>
  </sheetViews>
  <sheetFormatPr defaultRowHeight="14.4" x14ac:dyDescent="0.3"/>
  <cols>
    <col min="3" max="3" width="8.88671875" customWidth="1"/>
    <col min="7" max="7" width="5.5546875" bestFit="1" customWidth="1"/>
    <col min="8" max="8" width="16.6640625" customWidth="1"/>
    <col min="10" max="10" width="9.6640625" bestFit="1" customWidth="1"/>
    <col min="11" max="11" width="10.109375" customWidth="1"/>
    <col min="12" max="12" width="12.44140625" customWidth="1"/>
    <col min="13" max="13" width="11.109375" customWidth="1"/>
    <col min="15" max="15" width="13.44140625" customWidth="1"/>
    <col min="17" max="17" width="12.33203125" customWidth="1"/>
  </cols>
  <sheetData>
    <row r="8" spans="7:17" x14ac:dyDescent="0.3">
      <c r="K8" s="10" t="s">
        <v>11</v>
      </c>
      <c r="L8" s="10">
        <f>6409*6409</f>
        <v>41075281</v>
      </c>
    </row>
    <row r="11" spans="7:17" x14ac:dyDescent="0.3">
      <c r="G11" s="12" t="s">
        <v>14</v>
      </c>
      <c r="H11">
        <f>SUM(K11:M11)</f>
        <v>-36738240</v>
      </c>
      <c r="K11" s="13">
        <v>-6135360</v>
      </c>
      <c r="L11" s="13">
        <v>-40664400</v>
      </c>
      <c r="M11" s="13">
        <v>10061520</v>
      </c>
    </row>
    <row r="12" spans="7:17" x14ac:dyDescent="0.3">
      <c r="K12" s="2" t="s">
        <v>16</v>
      </c>
      <c r="L12" s="2" t="s">
        <v>17</v>
      </c>
      <c r="M12" s="2" t="s">
        <v>18</v>
      </c>
      <c r="O12">
        <f>SUM(M14,L15,K16)</f>
        <v>123225843</v>
      </c>
    </row>
    <row r="13" spans="7:17" x14ac:dyDescent="0.3">
      <c r="Q13" s="12" t="s">
        <v>15</v>
      </c>
    </row>
    <row r="14" spans="7:17" x14ac:dyDescent="0.3">
      <c r="K14" s="1">
        <f>L8+K11</f>
        <v>34939921</v>
      </c>
      <c r="L14" s="1">
        <f>L8+L11</f>
        <v>410881</v>
      </c>
      <c r="M14" s="1">
        <f>L8+M11</f>
        <v>51136801</v>
      </c>
      <c r="O14">
        <f>SUM(K14:M14)</f>
        <v>86487603</v>
      </c>
      <c r="Q14">
        <f>L21-O14</f>
        <v>36738240</v>
      </c>
    </row>
    <row r="15" spans="7:17" x14ac:dyDescent="0.3">
      <c r="J15" s="4">
        <f>-24518520</f>
        <v>-24518520</v>
      </c>
      <c r="K15" s="1">
        <f>L8+J15</f>
        <v>16556761</v>
      </c>
      <c r="L15" s="14">
        <f>L8</f>
        <v>41075281</v>
      </c>
      <c r="M15" s="1">
        <f>L8+N15</f>
        <v>65593801</v>
      </c>
      <c r="N15" s="13">
        <f>-1*J15</f>
        <v>24518520</v>
      </c>
      <c r="O15">
        <f>SUM(K15:M15)</f>
        <v>123225843</v>
      </c>
    </row>
    <row r="16" spans="7:17" x14ac:dyDescent="0.3">
      <c r="K16" s="1">
        <f>L8+K19</f>
        <v>31013761</v>
      </c>
      <c r="L16" s="1">
        <f>L8+L19</f>
        <v>81739681</v>
      </c>
      <c r="M16" s="1">
        <f>L8+M19</f>
        <v>47210641</v>
      </c>
      <c r="O16">
        <f>SUM(K16:M16)</f>
        <v>159964083</v>
      </c>
      <c r="Q16">
        <f>L21-O16</f>
        <v>-36738240</v>
      </c>
    </row>
    <row r="19" spans="3:15" x14ac:dyDescent="0.3">
      <c r="K19" s="13">
        <f>-1*M11</f>
        <v>-10061520</v>
      </c>
      <c r="L19" s="13">
        <f>-1*L11</f>
        <v>40664400</v>
      </c>
      <c r="M19" s="13">
        <f>-1*K11</f>
        <v>6135360</v>
      </c>
    </row>
    <row r="21" spans="3:15" x14ac:dyDescent="0.3">
      <c r="K21">
        <f>SUM(K14:K16)</f>
        <v>82510443</v>
      </c>
      <c r="L21">
        <f>SUM(L14:L16)</f>
        <v>123225843</v>
      </c>
      <c r="M21">
        <f>SUM(M14:M16)</f>
        <v>163941243</v>
      </c>
      <c r="O21">
        <f>SUM(M16,L15,K14)</f>
        <v>123225843</v>
      </c>
    </row>
    <row r="25" spans="3:15" x14ac:dyDescent="0.3">
      <c r="J25" s="12" t="s">
        <v>13</v>
      </c>
      <c r="K25" s="1">
        <f t="shared" ref="K25:M27" si="0">SQRT(K14)</f>
        <v>5911</v>
      </c>
      <c r="L25" s="1">
        <f t="shared" si="0"/>
        <v>641</v>
      </c>
      <c r="M25" s="1">
        <f>SQRT(M14)</f>
        <v>7151</v>
      </c>
    </row>
    <row r="26" spans="3:15" x14ac:dyDescent="0.3">
      <c r="K26" s="1">
        <f t="shared" si="0"/>
        <v>4069</v>
      </c>
      <c r="L26" s="1">
        <f t="shared" si="0"/>
        <v>6409</v>
      </c>
      <c r="M26" s="1">
        <f t="shared" si="0"/>
        <v>8099</v>
      </c>
    </row>
    <row r="27" spans="3:15" x14ac:dyDescent="0.3">
      <c r="K27" s="1">
        <f t="shared" si="0"/>
        <v>5569</v>
      </c>
      <c r="L27" s="1">
        <f t="shared" si="0"/>
        <v>9041</v>
      </c>
      <c r="M27" s="1">
        <f t="shared" si="0"/>
        <v>6871</v>
      </c>
    </row>
    <row r="31" spans="3:15" ht="43.2" x14ac:dyDescent="0.3">
      <c r="C31" s="16" t="s">
        <v>19</v>
      </c>
    </row>
    <row r="32" spans="3:15" x14ac:dyDescent="0.3">
      <c r="C32" s="17"/>
    </row>
    <row r="33" spans="3:3" ht="43.2" x14ac:dyDescent="0.3">
      <c r="C33" s="16" t="s">
        <v>20</v>
      </c>
    </row>
    <row r="34" spans="3:3" x14ac:dyDescent="0.3">
      <c r="C34" s="17"/>
    </row>
    <row r="35" spans="3:3" ht="43.2" x14ac:dyDescent="0.3">
      <c r="C35" s="16" t="s">
        <v>21</v>
      </c>
    </row>
    <row r="36" spans="3:3" x14ac:dyDescent="0.3">
      <c r="C36" s="17"/>
    </row>
    <row r="37" spans="3:3" ht="43.2" x14ac:dyDescent="0.3">
      <c r="C37" s="16" t="s">
        <v>22</v>
      </c>
    </row>
    <row r="38" spans="3:3" x14ac:dyDescent="0.3">
      <c r="C38" s="17"/>
    </row>
    <row r="39" spans="3:3" ht="43.2" x14ac:dyDescent="0.3">
      <c r="C39" s="16" t="s">
        <v>23</v>
      </c>
    </row>
    <row r="40" spans="3:3" x14ac:dyDescent="0.3">
      <c r="C40" s="17"/>
    </row>
    <row r="41" spans="3:3" ht="43.2" x14ac:dyDescent="0.3">
      <c r="C41" s="16" t="s">
        <v>24</v>
      </c>
    </row>
    <row r="42" spans="3:3" x14ac:dyDescent="0.3">
      <c r="C42" s="17"/>
    </row>
    <row r="43" spans="3:3" x14ac:dyDescent="0.3">
      <c r="C43" s="16" t="s">
        <v>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A673-8374-4019-9FBD-F71BF6D9E3FD}">
  <dimension ref="F4:Q26"/>
  <sheetViews>
    <sheetView workbookViewId="0">
      <selection activeCell="R9" sqref="R9"/>
    </sheetView>
  </sheetViews>
  <sheetFormatPr defaultRowHeight="14.4" x14ac:dyDescent="0.3"/>
  <cols>
    <col min="5" max="5" width="8.21875" customWidth="1"/>
    <col min="6" max="6" width="8.88671875" hidden="1" customWidth="1"/>
    <col min="7" max="7" width="10.77734375" customWidth="1"/>
    <col min="8" max="8" width="13.6640625" customWidth="1"/>
    <col min="9" max="9" width="14.44140625" customWidth="1"/>
    <col min="13" max="13" width="11" customWidth="1"/>
    <col min="14" max="14" width="12.6640625" customWidth="1"/>
    <col min="15" max="15" width="10" bestFit="1" customWidth="1"/>
    <col min="16" max="16" width="11.88671875" customWidth="1"/>
    <col min="18" max="18" width="14.6640625" customWidth="1"/>
    <col min="20" max="20" width="15.33203125" customWidth="1"/>
  </cols>
  <sheetData>
    <row r="4" spans="7:17" x14ac:dyDescent="0.3">
      <c r="J4" s="25"/>
    </row>
    <row r="7" spans="7:17" x14ac:dyDescent="0.3">
      <c r="K7" s="10" t="s">
        <v>11</v>
      </c>
      <c r="L7" s="10">
        <f>442*442</f>
        <v>195364</v>
      </c>
    </row>
    <row r="10" spans="7:17" x14ac:dyDescent="0.3">
      <c r="G10" s="12" t="s">
        <v>14</v>
      </c>
      <c r="H10">
        <f>SUM(K10:M10)</f>
        <v>66240</v>
      </c>
      <c r="K10" s="13">
        <v>-162240</v>
      </c>
      <c r="L10" s="13">
        <v>36960</v>
      </c>
      <c r="M10" s="13">
        <v>191520</v>
      </c>
    </row>
    <row r="11" spans="7:17" x14ac:dyDescent="0.3">
      <c r="K11" s="2" t="s">
        <v>16</v>
      </c>
      <c r="L11" s="2" t="s">
        <v>17</v>
      </c>
      <c r="M11" s="2" t="s">
        <v>18</v>
      </c>
      <c r="O11">
        <f>SUM(M13,L14,K15)</f>
        <v>586092</v>
      </c>
    </row>
    <row r="12" spans="7:17" x14ac:dyDescent="0.3">
      <c r="Q12" s="12" t="s">
        <v>15</v>
      </c>
    </row>
    <row r="13" spans="7:17" x14ac:dyDescent="0.3">
      <c r="K13" s="1">
        <f>L7+K10</f>
        <v>33124</v>
      </c>
      <c r="L13" s="1">
        <f>L7+L10</f>
        <v>232324</v>
      </c>
      <c r="M13" s="1">
        <f>L7+M10</f>
        <v>386884</v>
      </c>
      <c r="O13">
        <f>SUM(K13:M13)</f>
        <v>652332</v>
      </c>
      <c r="Q13">
        <f>L20-O13</f>
        <v>-66240</v>
      </c>
    </row>
    <row r="14" spans="7:17" x14ac:dyDescent="0.3">
      <c r="I14" t="s">
        <v>27</v>
      </c>
      <c r="J14" s="4">
        <v>138720</v>
      </c>
      <c r="K14" s="1">
        <f>L14+J14</f>
        <v>334084</v>
      </c>
      <c r="L14" s="14">
        <f>L7</f>
        <v>195364</v>
      </c>
      <c r="M14" s="1">
        <f>L14+N14</f>
        <v>56644</v>
      </c>
      <c r="N14" s="13">
        <f>-1*J14</f>
        <v>-138720</v>
      </c>
      <c r="O14">
        <f>SUM(K14:M14)</f>
        <v>586092</v>
      </c>
    </row>
    <row r="15" spans="7:17" x14ac:dyDescent="0.3">
      <c r="J15" t="s">
        <v>26</v>
      </c>
      <c r="K15" s="1">
        <f>L7+K18</f>
        <v>3844</v>
      </c>
      <c r="L15" s="1">
        <f>L7+L18</f>
        <v>158404</v>
      </c>
      <c r="M15" s="1">
        <f>L7+M18</f>
        <v>357604</v>
      </c>
      <c r="O15">
        <f>SUM(K15:M15)</f>
        <v>519852</v>
      </c>
      <c r="Q15">
        <f>L20-O15</f>
        <v>66240</v>
      </c>
    </row>
    <row r="18" spans="10:15" x14ac:dyDescent="0.3">
      <c r="K18" s="13">
        <f>-1*M10</f>
        <v>-191520</v>
      </c>
      <c r="L18" s="13">
        <f>-1*L10</f>
        <v>-36960</v>
      </c>
      <c r="M18" s="13">
        <f>-1*K10</f>
        <v>162240</v>
      </c>
    </row>
    <row r="20" spans="10:15" x14ac:dyDescent="0.3">
      <c r="K20" s="24">
        <f>SUM(K13:K15)</f>
        <v>371052</v>
      </c>
      <c r="L20">
        <f>SUM(L13:L15)</f>
        <v>586092</v>
      </c>
      <c r="M20" s="24">
        <f>SUM(M13:M15)</f>
        <v>801132</v>
      </c>
      <c r="O20">
        <f>SUM(M15,L14,K13)</f>
        <v>586092</v>
      </c>
    </row>
    <row r="24" spans="10:15" x14ac:dyDescent="0.3">
      <c r="J24" s="12" t="s">
        <v>13</v>
      </c>
      <c r="K24" s="1">
        <f t="shared" ref="K24:M26" si="0">SQRT(K13)</f>
        <v>182</v>
      </c>
      <c r="L24" s="1">
        <f t="shared" si="0"/>
        <v>482</v>
      </c>
      <c r="M24" s="1">
        <f>SQRT(M13)</f>
        <v>622</v>
      </c>
    </row>
    <row r="25" spans="10:15" x14ac:dyDescent="0.3">
      <c r="K25" s="1">
        <f t="shared" si="0"/>
        <v>578</v>
      </c>
      <c r="L25" s="1">
        <f t="shared" si="0"/>
        <v>442</v>
      </c>
      <c r="M25" s="1">
        <f t="shared" si="0"/>
        <v>238</v>
      </c>
    </row>
    <row r="26" spans="10:15" x14ac:dyDescent="0.3">
      <c r="K26" s="1">
        <f t="shared" si="0"/>
        <v>62</v>
      </c>
      <c r="L26" s="1">
        <f t="shared" si="0"/>
        <v>398</v>
      </c>
      <c r="M26" s="1">
        <f t="shared" si="0"/>
        <v>598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1A7D-0058-46DC-A4CE-0F85964FEFAB}">
  <dimension ref="F6:U29"/>
  <sheetViews>
    <sheetView topLeftCell="D1" workbookViewId="0">
      <selection activeCell="E2" sqref="E2:U33"/>
    </sheetView>
  </sheetViews>
  <sheetFormatPr defaultRowHeight="14.4" x14ac:dyDescent="0.3"/>
  <cols>
    <col min="7" max="7" width="16.44140625" customWidth="1"/>
    <col min="8" max="8" width="5.33203125" customWidth="1"/>
    <col min="9" max="9" width="14.21875" customWidth="1"/>
    <col min="10" max="10" width="12" bestFit="1" customWidth="1"/>
    <col min="11" max="11" width="10.6640625" bestFit="1" customWidth="1"/>
    <col min="12" max="12" width="12" bestFit="1" customWidth="1"/>
    <col min="13" max="13" width="10.44140625" customWidth="1"/>
    <col min="14" max="14" width="10" bestFit="1" customWidth="1"/>
    <col min="16" max="17" width="10.6640625" bestFit="1" customWidth="1"/>
    <col min="18" max="19" width="10" bestFit="1" customWidth="1"/>
    <col min="20" max="20" width="10.6640625" bestFit="1" customWidth="1"/>
    <col min="21" max="21" width="10" bestFit="1" customWidth="1"/>
  </cols>
  <sheetData>
    <row r="6" spans="6:21" x14ac:dyDescent="0.3">
      <c r="R6">
        <f>S9-R8</f>
        <v>163872720</v>
      </c>
      <c r="S6">
        <f>S9-S8</f>
        <v>10988207</v>
      </c>
      <c r="T6">
        <f>S9-T8</f>
        <v>-58544640</v>
      </c>
    </row>
    <row r="8" spans="6:21" x14ac:dyDescent="0.3">
      <c r="R8">
        <f>POWER(7656,2)</f>
        <v>58614336</v>
      </c>
      <c r="S8">
        <f>POWER(14543,2)</f>
        <v>211498849</v>
      </c>
      <c r="T8">
        <f>POWER(16764,2)</f>
        <v>281031696</v>
      </c>
    </row>
    <row r="9" spans="6:21" x14ac:dyDescent="0.3">
      <c r="Q9">
        <f>S9-R9</f>
        <v>-106101073</v>
      </c>
      <c r="R9">
        <f>POWER(18127,2)</f>
        <v>328588129</v>
      </c>
      <c r="S9">
        <f>POWER(14916,2)</f>
        <v>222487056</v>
      </c>
      <c r="T9">
        <f>POWER(264,2)</f>
        <v>69696</v>
      </c>
      <c r="U9">
        <f>S9-T9</f>
        <v>222417360</v>
      </c>
    </row>
    <row r="10" spans="6:21" x14ac:dyDescent="0.3">
      <c r="J10" s="10" t="s">
        <v>11</v>
      </c>
      <c r="K10" s="10">
        <f>14916*14916</f>
        <v>222487056</v>
      </c>
      <c r="R10">
        <f>POWER(12804,2)</f>
        <v>163942416</v>
      </c>
      <c r="S10">
        <f>POWER(10824,2)</f>
        <v>117158976</v>
      </c>
      <c r="T10">
        <f>POWER(16433,2)</f>
        <v>270043489</v>
      </c>
    </row>
    <row r="12" spans="6:21" x14ac:dyDescent="0.3">
      <c r="R12">
        <f>S9-R10</f>
        <v>58544640</v>
      </c>
      <c r="S12">
        <f>S9-S10</f>
        <v>105328080</v>
      </c>
      <c r="T12">
        <f>S9-T10</f>
        <v>-47556433</v>
      </c>
    </row>
    <row r="13" spans="6:21" x14ac:dyDescent="0.3">
      <c r="F13" s="12" t="s">
        <v>14</v>
      </c>
      <c r="G13">
        <f>SUM(J13:L13)</f>
        <v>-116316287</v>
      </c>
      <c r="J13" s="13">
        <v>-163872720</v>
      </c>
      <c r="K13" s="13">
        <v>-10988207</v>
      </c>
      <c r="L13" s="13">
        <v>58544640</v>
      </c>
    </row>
    <row r="14" spans="6:21" x14ac:dyDescent="0.3">
      <c r="J14" s="2" t="s">
        <v>16</v>
      </c>
      <c r="K14" s="2" t="s">
        <v>17</v>
      </c>
      <c r="L14" s="2" t="s">
        <v>18</v>
      </c>
      <c r="N14">
        <f>SUM(L16,K17,J18)</f>
        <v>667461168</v>
      </c>
    </row>
    <row r="15" spans="6:21" x14ac:dyDescent="0.3">
      <c r="P15" s="12" t="s">
        <v>15</v>
      </c>
    </row>
    <row r="16" spans="6:21" x14ac:dyDescent="0.3">
      <c r="J16" s="1">
        <f>K10+J13</f>
        <v>58614336</v>
      </c>
      <c r="K16" s="1">
        <f>K10+K13</f>
        <v>211498849</v>
      </c>
      <c r="L16" s="1">
        <f>K10+L13</f>
        <v>281031696</v>
      </c>
      <c r="N16">
        <f>SUM(J16:L16)</f>
        <v>551144881</v>
      </c>
      <c r="P16">
        <f>K23-N16</f>
        <v>0</v>
      </c>
    </row>
    <row r="17" spans="7:16" x14ac:dyDescent="0.3">
      <c r="G17">
        <f>SUM(I17,M17)</f>
        <v>-116316287</v>
      </c>
      <c r="I17" s="4">
        <v>106101073</v>
      </c>
      <c r="J17" s="1">
        <f>K10+I17</f>
        <v>328588129</v>
      </c>
      <c r="K17" s="14">
        <f>K10</f>
        <v>222487056</v>
      </c>
      <c r="L17" s="1">
        <f>K10+M17</f>
        <v>69696</v>
      </c>
      <c r="M17" s="13">
        <v>-222417360</v>
      </c>
      <c r="N17">
        <f>SUM(J17:L17)</f>
        <v>551144881</v>
      </c>
    </row>
    <row r="18" spans="7:16" x14ac:dyDescent="0.3">
      <c r="I18" t="s">
        <v>26</v>
      </c>
      <c r="J18" s="1">
        <f>K10+J21</f>
        <v>163942416</v>
      </c>
      <c r="K18" s="1">
        <f>K10+K21</f>
        <v>117158976</v>
      </c>
      <c r="L18" s="1">
        <f>K10+L21</f>
        <v>270043489</v>
      </c>
      <c r="M18" t="s">
        <v>32</v>
      </c>
      <c r="N18">
        <f>SUM(J18:L18)</f>
        <v>551144881</v>
      </c>
      <c r="P18">
        <f>K23-N18</f>
        <v>0</v>
      </c>
    </row>
    <row r="21" spans="7:16" x14ac:dyDescent="0.3">
      <c r="G21">
        <f>SUM(J21:L21)</f>
        <v>-116316287</v>
      </c>
      <c r="J21" s="13">
        <f>-1*L13</f>
        <v>-58544640</v>
      </c>
      <c r="K21" s="13">
        <f>-S12</f>
        <v>-105328080</v>
      </c>
      <c r="L21" s="13">
        <f>-T12</f>
        <v>47556433</v>
      </c>
      <c r="P21">
        <f>K17*3</f>
        <v>667461168</v>
      </c>
    </row>
    <row r="22" spans="7:16" x14ac:dyDescent="0.3">
      <c r="J22" t="s">
        <v>33</v>
      </c>
      <c r="K22" t="s">
        <v>34</v>
      </c>
      <c r="L22" t="s">
        <v>35</v>
      </c>
    </row>
    <row r="23" spans="7:16" x14ac:dyDescent="0.3">
      <c r="J23">
        <f>SUM(J16:J18)</f>
        <v>551144881</v>
      </c>
      <c r="K23">
        <f>SUM(K16:K18)</f>
        <v>551144881</v>
      </c>
      <c r="L23">
        <f>SUM(L16:L18)</f>
        <v>551144881</v>
      </c>
      <c r="N23">
        <f>SUM(L18,K17,J16)</f>
        <v>551144881</v>
      </c>
      <c r="P23">
        <f>P21-N18</f>
        <v>116316287</v>
      </c>
    </row>
    <row r="27" spans="7:16" x14ac:dyDescent="0.3">
      <c r="I27" s="12" t="s">
        <v>13</v>
      </c>
      <c r="J27" s="1">
        <f t="shared" ref="J27:L29" si="0">SQRT(J16)</f>
        <v>7656</v>
      </c>
      <c r="K27" s="1">
        <f t="shared" si="0"/>
        <v>14543</v>
      </c>
      <c r="L27" s="1">
        <f>SQRT(L16)</f>
        <v>16764</v>
      </c>
    </row>
    <row r="28" spans="7:16" x14ac:dyDescent="0.3">
      <c r="J28" s="1">
        <f t="shared" si="0"/>
        <v>18127</v>
      </c>
      <c r="K28" s="1">
        <f t="shared" si="0"/>
        <v>14916</v>
      </c>
      <c r="L28" s="1">
        <f t="shared" si="0"/>
        <v>264</v>
      </c>
    </row>
    <row r="29" spans="7:16" x14ac:dyDescent="0.3">
      <c r="J29" s="1">
        <f t="shared" si="0"/>
        <v>12804</v>
      </c>
      <c r="K29" s="1">
        <f t="shared" si="0"/>
        <v>10824</v>
      </c>
      <c r="L29" s="1">
        <f t="shared" si="0"/>
        <v>16433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E67-BF26-40BC-A0BD-439429164227}">
  <dimension ref="F10:U33"/>
  <sheetViews>
    <sheetView tabSelected="1" topLeftCell="A7" workbookViewId="0">
      <selection activeCell="J17" sqref="J17"/>
    </sheetView>
  </sheetViews>
  <sheetFormatPr defaultRowHeight="14.4" x14ac:dyDescent="0.3"/>
  <cols>
    <col min="7" max="7" width="10.6640625" bestFit="1" customWidth="1"/>
    <col min="9" max="9" width="10" bestFit="1" customWidth="1"/>
    <col min="10" max="11" width="10.6640625" bestFit="1" customWidth="1"/>
    <col min="12" max="12" width="10" bestFit="1" customWidth="1"/>
    <col min="13" max="13" width="10.6640625" bestFit="1" customWidth="1"/>
    <col min="14" max="14" width="10" bestFit="1" customWidth="1"/>
    <col min="16" max="16" width="10" bestFit="1" customWidth="1"/>
  </cols>
  <sheetData>
    <row r="10" spans="10:21" x14ac:dyDescent="0.3">
      <c r="R10">
        <f>S13-R12</f>
        <v>163872720</v>
      </c>
      <c r="S10">
        <f>S13-S12</f>
        <v>10988207</v>
      </c>
      <c r="T10">
        <f>S13-T12</f>
        <v>-58544640</v>
      </c>
    </row>
    <row r="12" spans="10:21" x14ac:dyDescent="0.3">
      <c r="R12">
        <f>POWER(7656,2)</f>
        <v>58614336</v>
      </c>
      <c r="S12">
        <f>POWER(14543,2)</f>
        <v>211498849</v>
      </c>
      <c r="T12">
        <f>POWER(16764,2)</f>
        <v>281031696</v>
      </c>
    </row>
    <row r="13" spans="10:21" x14ac:dyDescent="0.3">
      <c r="Q13">
        <f>S13-R13</f>
        <v>-106101073</v>
      </c>
      <c r="R13">
        <f>POWER(18127,2)</f>
        <v>328588129</v>
      </c>
      <c r="S13">
        <f>POWER(14916,2)</f>
        <v>222487056</v>
      </c>
      <c r="T13">
        <f>POWER(264,2)</f>
        <v>69696</v>
      </c>
      <c r="U13">
        <f>S13-T13</f>
        <v>222417360</v>
      </c>
    </row>
    <row r="14" spans="10:21" x14ac:dyDescent="0.3">
      <c r="J14" s="10" t="s">
        <v>11</v>
      </c>
      <c r="K14" s="10">
        <f>14916*14916</f>
        <v>222487056</v>
      </c>
      <c r="R14">
        <f>POWER(12804,2)</f>
        <v>163942416</v>
      </c>
      <c r="S14">
        <f>POWER(10824,2)</f>
        <v>117158976</v>
      </c>
      <c r="T14">
        <f>POWER(16433,2)</f>
        <v>270043489</v>
      </c>
    </row>
    <row r="16" spans="10:21" x14ac:dyDescent="0.3">
      <c r="R16">
        <f>S13-R14</f>
        <v>58544640</v>
      </c>
      <c r="S16">
        <f>S13-S14</f>
        <v>105328080</v>
      </c>
      <c r="T16">
        <f>S13-T14</f>
        <v>-47556433</v>
      </c>
    </row>
    <row r="17" spans="6:16" x14ac:dyDescent="0.3">
      <c r="F17" s="12" t="s">
        <v>14</v>
      </c>
      <c r="G17">
        <f>SUM(J17:L17)</f>
        <v>-116316287</v>
      </c>
      <c r="J17" s="13">
        <v>-163872720</v>
      </c>
      <c r="K17" s="13">
        <v>-10988207</v>
      </c>
      <c r="L17" s="13">
        <v>58544640</v>
      </c>
    </row>
    <row r="18" spans="6:16" x14ac:dyDescent="0.3">
      <c r="J18" s="2" t="s">
        <v>16</v>
      </c>
      <c r="K18" s="2" t="s">
        <v>17</v>
      </c>
      <c r="L18" s="2" t="s">
        <v>18</v>
      </c>
      <c r="N18">
        <f>SUM(L20,K21,J22)</f>
        <v>667461168</v>
      </c>
    </row>
    <row r="19" spans="6:16" x14ac:dyDescent="0.3">
      <c r="P19" s="12" t="s">
        <v>15</v>
      </c>
    </row>
    <row r="20" spans="6:16" x14ac:dyDescent="0.3">
      <c r="J20" s="1">
        <f>K14+J17</f>
        <v>58614336</v>
      </c>
      <c r="K20" s="1">
        <f>K14+K17</f>
        <v>211498849</v>
      </c>
      <c r="L20" s="1">
        <f>K14+L17</f>
        <v>281031696</v>
      </c>
      <c r="N20">
        <f>SUM(J20:L20)</f>
        <v>551144881</v>
      </c>
      <c r="P20">
        <f>K27-N20</f>
        <v>0</v>
      </c>
    </row>
    <row r="21" spans="6:16" x14ac:dyDescent="0.3">
      <c r="G21">
        <f>SUM(I21,M21)</f>
        <v>-116316287</v>
      </c>
      <c r="I21" s="4">
        <v>106101073</v>
      </c>
      <c r="J21" s="1">
        <f>K14+I21</f>
        <v>328588129</v>
      </c>
      <c r="K21" s="14">
        <f>K14</f>
        <v>222487056</v>
      </c>
      <c r="L21" s="1">
        <f>K14+M21</f>
        <v>69696</v>
      </c>
      <c r="M21" s="13">
        <v>-222417360</v>
      </c>
      <c r="N21">
        <f>SUM(J21:L21)</f>
        <v>551144881</v>
      </c>
    </row>
    <row r="22" spans="6:16" x14ac:dyDescent="0.3">
      <c r="I22" t="s">
        <v>26</v>
      </c>
      <c r="J22" s="1">
        <f>K14+J25</f>
        <v>163942416</v>
      </c>
      <c r="K22" s="1">
        <f>K14+K25</f>
        <v>117158976</v>
      </c>
      <c r="L22" s="1">
        <f>K14+L25</f>
        <v>270043489</v>
      </c>
      <c r="M22" t="s">
        <v>32</v>
      </c>
      <c r="N22">
        <f>SUM(J22:L22)</f>
        <v>551144881</v>
      </c>
      <c r="P22">
        <f>K27-N22</f>
        <v>0</v>
      </c>
    </row>
    <row r="25" spans="6:16" x14ac:dyDescent="0.3">
      <c r="G25">
        <f>SUM(J25:L25)</f>
        <v>-116316287</v>
      </c>
      <c r="J25" s="13">
        <f>-1*L17</f>
        <v>-58544640</v>
      </c>
      <c r="K25" s="13">
        <f>-S16</f>
        <v>-105328080</v>
      </c>
      <c r="L25" s="13">
        <f>-T16</f>
        <v>47556433</v>
      </c>
      <c r="P25">
        <f>K21*3</f>
        <v>667461168</v>
      </c>
    </row>
    <row r="26" spans="6:16" x14ac:dyDescent="0.3">
      <c r="J26" t="s">
        <v>33</v>
      </c>
      <c r="K26" t="s">
        <v>34</v>
      </c>
      <c r="L26" t="s">
        <v>35</v>
      </c>
    </row>
    <row r="27" spans="6:16" x14ac:dyDescent="0.3">
      <c r="J27">
        <f>SUM(J20:J22)</f>
        <v>551144881</v>
      </c>
      <c r="K27">
        <f>SUM(K20:K22)</f>
        <v>551144881</v>
      </c>
      <c r="L27">
        <f>SUM(L20:L22)</f>
        <v>551144881</v>
      </c>
      <c r="N27">
        <f>SUM(L22,K21,J20)</f>
        <v>551144881</v>
      </c>
      <c r="P27">
        <f>P25-N22</f>
        <v>116316287</v>
      </c>
    </row>
    <row r="31" spans="6:16" x14ac:dyDescent="0.3">
      <c r="I31" s="12" t="s">
        <v>13</v>
      </c>
      <c r="J31" s="1">
        <f t="shared" ref="J31:L33" si="0">SQRT(J20)</f>
        <v>7656</v>
      </c>
      <c r="K31" s="1">
        <f t="shared" si="0"/>
        <v>14543</v>
      </c>
      <c r="L31" s="1">
        <f>SQRT(L20)</f>
        <v>16764</v>
      </c>
    </row>
    <row r="32" spans="6:16" x14ac:dyDescent="0.3">
      <c r="J32" s="1">
        <f t="shared" si="0"/>
        <v>18127</v>
      </c>
      <c r="K32" s="1">
        <f t="shared" si="0"/>
        <v>14916</v>
      </c>
      <c r="L32" s="1">
        <f t="shared" si="0"/>
        <v>264</v>
      </c>
    </row>
    <row r="33" spans="10:12" x14ac:dyDescent="0.3">
      <c r="J33" s="1">
        <f t="shared" si="0"/>
        <v>12804</v>
      </c>
      <c r="K33" s="1">
        <f t="shared" si="0"/>
        <v>10824</v>
      </c>
      <c r="L33" s="1">
        <f t="shared" si="0"/>
        <v>16433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BC73-2E28-4F8E-A9B2-195200C1C91C}">
  <dimension ref="A1:U36"/>
  <sheetViews>
    <sheetView zoomScale="78" workbookViewId="0">
      <selection activeCell="B31" sqref="B31"/>
    </sheetView>
  </sheetViews>
  <sheetFormatPr defaultRowHeight="14.4" x14ac:dyDescent="0.3"/>
  <sheetData>
    <row r="1" spans="1:21" x14ac:dyDescent="0.3">
      <c r="D1" t="str">
        <f>"+5"</f>
        <v>+5</v>
      </c>
      <c r="E1" t="str">
        <f>"+7"</f>
        <v>+7</v>
      </c>
      <c r="F1" t="str">
        <f>"+9"</f>
        <v>+9</v>
      </c>
      <c r="G1" t="str">
        <f>"+11"</f>
        <v>+11</v>
      </c>
      <c r="H1" t="str">
        <f>"+13"</f>
        <v>+13</v>
      </c>
      <c r="I1" t="str">
        <f>"+15"</f>
        <v>+15</v>
      </c>
      <c r="J1" s="12" t="str">
        <f>"+17"</f>
        <v>+17</v>
      </c>
      <c r="K1" t="str">
        <f>"+19"</f>
        <v>+19</v>
      </c>
      <c r="L1" t="str">
        <f>"+21"</f>
        <v>+21</v>
      </c>
      <c r="M1" s="12" t="str">
        <f>"+23"</f>
        <v>+23</v>
      </c>
      <c r="N1" t="str">
        <f>"+25"</f>
        <v>+25</v>
      </c>
      <c r="O1" t="str">
        <f>"+27"</f>
        <v>+27</v>
      </c>
      <c r="P1" t="str">
        <f>"+29"</f>
        <v>+29</v>
      </c>
      <c r="Q1" t="str">
        <f>"+31"</f>
        <v>+31</v>
      </c>
      <c r="R1" t="str">
        <f>"+33"</f>
        <v>+33</v>
      </c>
      <c r="S1" t="str">
        <f>"+35"</f>
        <v>+35</v>
      </c>
      <c r="T1" t="str">
        <f>"+37"</f>
        <v>+37</v>
      </c>
      <c r="U1" s="12" t="str">
        <f>"+39"</f>
        <v>+39</v>
      </c>
    </row>
    <row r="2" spans="1:21" x14ac:dyDescent="0.3">
      <c r="A2">
        <v>1</v>
      </c>
      <c r="B2">
        <f>POWER(A2,2)</f>
        <v>1</v>
      </c>
      <c r="D2">
        <f>B2-B$2</f>
        <v>0</v>
      </c>
      <c r="E2">
        <f>B2-B$3</f>
        <v>-3</v>
      </c>
      <c r="F2">
        <f>B2-B$4</f>
        <v>-8</v>
      </c>
      <c r="G2">
        <f>B2-B$5</f>
        <v>-15</v>
      </c>
      <c r="H2">
        <f>B2-B$6</f>
        <v>-24</v>
      </c>
      <c r="I2">
        <f>B2-B$7</f>
        <v>-35</v>
      </c>
      <c r="J2">
        <f>B2-B$8</f>
        <v>-48</v>
      </c>
      <c r="K2">
        <f>B2-B$9</f>
        <v>-63</v>
      </c>
      <c r="L2">
        <f>B2-B$10</f>
        <v>-80</v>
      </c>
      <c r="M2">
        <f>B2-B$11</f>
        <v>-99</v>
      </c>
      <c r="N2">
        <f>B2-B$12</f>
        <v>-120</v>
      </c>
      <c r="O2">
        <f>$B2-$B$13</f>
        <v>-143</v>
      </c>
      <c r="P2">
        <f>$B2-$B$14</f>
        <v>-168</v>
      </c>
      <c r="Q2">
        <f>$B2-$B$15</f>
        <v>-195</v>
      </c>
      <c r="R2">
        <f>$B2-$B$16</f>
        <v>-224</v>
      </c>
      <c r="S2">
        <f>$B2-$B$17</f>
        <v>-255</v>
      </c>
      <c r="T2">
        <f>$B2-$B$18</f>
        <v>-288</v>
      </c>
      <c r="U2">
        <f>$B2-$B$19</f>
        <v>-323</v>
      </c>
    </row>
    <row r="3" spans="1:21" x14ac:dyDescent="0.3">
      <c r="A3">
        <v>2</v>
      </c>
      <c r="B3">
        <f t="shared" ref="B3:B35" si="0">POWER(A3,2)</f>
        <v>4</v>
      </c>
      <c r="D3">
        <f t="shared" ref="D3:D36" si="1">B3-B$2</f>
        <v>3</v>
      </c>
      <c r="E3">
        <f t="shared" ref="E3:E34" si="2">B3-B$3</f>
        <v>0</v>
      </c>
      <c r="F3">
        <f t="shared" ref="F3:F36" si="3">B3-B$4</f>
        <v>-5</v>
      </c>
      <c r="G3">
        <f t="shared" ref="G3:G36" si="4">B3-B$5</f>
        <v>-12</v>
      </c>
      <c r="H3">
        <f t="shared" ref="H3:H36" si="5">B3-B$6</f>
        <v>-21</v>
      </c>
      <c r="I3">
        <f t="shared" ref="I3:I36" si="6">B3-B$7</f>
        <v>-32</v>
      </c>
      <c r="J3">
        <f t="shared" ref="J3:J36" si="7">B3-B$8</f>
        <v>-45</v>
      </c>
      <c r="K3">
        <f t="shared" ref="K3:K36" si="8">B3-B$9</f>
        <v>-60</v>
      </c>
      <c r="L3">
        <f t="shared" ref="L3:L36" si="9">B3-B$10</f>
        <v>-77</v>
      </c>
      <c r="M3">
        <f t="shared" ref="M3:M36" si="10">B3-B$11</f>
        <v>-96</v>
      </c>
      <c r="N3">
        <f t="shared" ref="N3:N36" si="11">B3-B$12</f>
        <v>-117</v>
      </c>
      <c r="O3">
        <f t="shared" ref="O3:O36" si="12">$B3-$B$13</f>
        <v>-140</v>
      </c>
      <c r="P3">
        <f t="shared" ref="P3:P36" si="13">$B3-$B$14</f>
        <v>-165</v>
      </c>
      <c r="Q3">
        <f t="shared" ref="Q3:Q36" si="14">$B3-$B$15</f>
        <v>-192</v>
      </c>
      <c r="R3">
        <f t="shared" ref="R3:R36" si="15">$B3-$B$16</f>
        <v>-221</v>
      </c>
      <c r="S3">
        <f t="shared" ref="S3:S36" si="16">$B3-$B$17</f>
        <v>-252</v>
      </c>
      <c r="T3">
        <f t="shared" ref="T3:T36" si="17">$B3-$B$18</f>
        <v>-285</v>
      </c>
      <c r="U3">
        <f t="shared" ref="U3:U36" si="18">$B3-$B$19</f>
        <v>-320</v>
      </c>
    </row>
    <row r="4" spans="1:21" x14ac:dyDescent="0.3">
      <c r="A4">
        <v>3</v>
      </c>
      <c r="B4">
        <f t="shared" si="0"/>
        <v>9</v>
      </c>
      <c r="D4">
        <f t="shared" si="1"/>
        <v>8</v>
      </c>
      <c r="E4">
        <f t="shared" si="2"/>
        <v>5</v>
      </c>
      <c r="F4">
        <f t="shared" si="3"/>
        <v>0</v>
      </c>
      <c r="G4">
        <f t="shared" si="4"/>
        <v>-7</v>
      </c>
      <c r="H4">
        <f t="shared" si="5"/>
        <v>-16</v>
      </c>
      <c r="I4">
        <f t="shared" si="6"/>
        <v>-27</v>
      </c>
      <c r="J4">
        <f t="shared" si="7"/>
        <v>-40</v>
      </c>
      <c r="K4">
        <f t="shared" si="8"/>
        <v>-55</v>
      </c>
      <c r="L4">
        <f t="shared" si="9"/>
        <v>-72</v>
      </c>
      <c r="M4">
        <f t="shared" si="10"/>
        <v>-91</v>
      </c>
      <c r="N4">
        <f t="shared" si="11"/>
        <v>-112</v>
      </c>
      <c r="O4">
        <f t="shared" si="12"/>
        <v>-135</v>
      </c>
      <c r="P4">
        <f t="shared" si="13"/>
        <v>-160</v>
      </c>
      <c r="Q4">
        <f t="shared" si="14"/>
        <v>-187</v>
      </c>
      <c r="R4">
        <f t="shared" si="15"/>
        <v>-216</v>
      </c>
      <c r="S4">
        <f t="shared" si="16"/>
        <v>-247</v>
      </c>
      <c r="T4">
        <f t="shared" si="17"/>
        <v>-280</v>
      </c>
      <c r="U4">
        <f t="shared" si="18"/>
        <v>-315</v>
      </c>
    </row>
    <row r="5" spans="1:21" x14ac:dyDescent="0.3">
      <c r="A5">
        <v>4</v>
      </c>
      <c r="B5">
        <f t="shared" si="0"/>
        <v>16</v>
      </c>
      <c r="D5">
        <f t="shared" si="1"/>
        <v>15</v>
      </c>
      <c r="E5">
        <f t="shared" si="2"/>
        <v>12</v>
      </c>
      <c r="F5">
        <f t="shared" si="3"/>
        <v>7</v>
      </c>
      <c r="G5">
        <f t="shared" si="4"/>
        <v>0</v>
      </c>
      <c r="H5">
        <f t="shared" si="5"/>
        <v>-9</v>
      </c>
      <c r="I5">
        <f t="shared" si="6"/>
        <v>-20</v>
      </c>
      <c r="J5">
        <f t="shared" si="7"/>
        <v>-33</v>
      </c>
      <c r="K5">
        <f t="shared" si="8"/>
        <v>-48</v>
      </c>
      <c r="L5">
        <f t="shared" si="9"/>
        <v>-65</v>
      </c>
      <c r="M5">
        <f t="shared" si="10"/>
        <v>-84</v>
      </c>
      <c r="N5">
        <f t="shared" si="11"/>
        <v>-105</v>
      </c>
      <c r="O5">
        <f t="shared" si="12"/>
        <v>-128</v>
      </c>
      <c r="P5">
        <f t="shared" si="13"/>
        <v>-153</v>
      </c>
      <c r="Q5">
        <f t="shared" si="14"/>
        <v>-180</v>
      </c>
      <c r="R5">
        <f t="shared" si="15"/>
        <v>-209</v>
      </c>
      <c r="S5">
        <f t="shared" si="16"/>
        <v>-240</v>
      </c>
      <c r="T5">
        <f t="shared" si="17"/>
        <v>-273</v>
      </c>
      <c r="U5">
        <f t="shared" si="18"/>
        <v>-308</v>
      </c>
    </row>
    <row r="6" spans="1:21" x14ac:dyDescent="0.3">
      <c r="A6">
        <v>5</v>
      </c>
      <c r="B6">
        <f t="shared" si="0"/>
        <v>25</v>
      </c>
      <c r="D6">
        <f t="shared" si="1"/>
        <v>24</v>
      </c>
      <c r="E6">
        <f t="shared" si="2"/>
        <v>21</v>
      </c>
      <c r="F6" s="10">
        <f t="shared" si="3"/>
        <v>16</v>
      </c>
      <c r="G6">
        <f t="shared" si="4"/>
        <v>9</v>
      </c>
      <c r="H6">
        <f t="shared" si="5"/>
        <v>0</v>
      </c>
      <c r="I6">
        <f t="shared" si="6"/>
        <v>-11</v>
      </c>
      <c r="J6">
        <f t="shared" si="7"/>
        <v>-24</v>
      </c>
      <c r="K6">
        <f t="shared" si="8"/>
        <v>-39</v>
      </c>
      <c r="L6">
        <f t="shared" si="9"/>
        <v>-56</v>
      </c>
      <c r="M6">
        <f t="shared" si="10"/>
        <v>-75</v>
      </c>
      <c r="N6">
        <f t="shared" si="11"/>
        <v>-96</v>
      </c>
      <c r="O6">
        <f t="shared" si="12"/>
        <v>-119</v>
      </c>
      <c r="P6">
        <f t="shared" si="13"/>
        <v>-144</v>
      </c>
      <c r="Q6">
        <f t="shared" si="14"/>
        <v>-171</v>
      </c>
      <c r="R6">
        <f t="shared" si="15"/>
        <v>-200</v>
      </c>
      <c r="S6">
        <f t="shared" si="16"/>
        <v>-231</v>
      </c>
      <c r="T6">
        <f t="shared" si="17"/>
        <v>-264</v>
      </c>
      <c r="U6">
        <f t="shared" si="18"/>
        <v>-299</v>
      </c>
    </row>
    <row r="7" spans="1:21" x14ac:dyDescent="0.3">
      <c r="A7">
        <v>6</v>
      </c>
      <c r="B7">
        <f t="shared" si="0"/>
        <v>36</v>
      </c>
      <c r="D7">
        <f t="shared" si="1"/>
        <v>35</v>
      </c>
      <c r="E7">
        <f t="shared" si="2"/>
        <v>32</v>
      </c>
      <c r="F7">
        <f t="shared" si="3"/>
        <v>27</v>
      </c>
      <c r="G7">
        <f t="shared" si="4"/>
        <v>20</v>
      </c>
      <c r="H7">
        <f t="shared" si="5"/>
        <v>11</v>
      </c>
      <c r="I7">
        <f t="shared" si="6"/>
        <v>0</v>
      </c>
      <c r="J7">
        <f t="shared" si="7"/>
        <v>-13</v>
      </c>
      <c r="K7">
        <f t="shared" si="8"/>
        <v>-28</v>
      </c>
      <c r="L7">
        <f t="shared" si="9"/>
        <v>-45</v>
      </c>
      <c r="M7">
        <f t="shared" si="10"/>
        <v>-64</v>
      </c>
      <c r="N7">
        <f t="shared" si="11"/>
        <v>-85</v>
      </c>
      <c r="O7">
        <f t="shared" si="12"/>
        <v>-108</v>
      </c>
      <c r="P7">
        <f t="shared" si="13"/>
        <v>-133</v>
      </c>
      <c r="Q7">
        <f t="shared" si="14"/>
        <v>-160</v>
      </c>
      <c r="R7">
        <f t="shared" si="15"/>
        <v>-189</v>
      </c>
      <c r="S7">
        <f t="shared" si="16"/>
        <v>-220</v>
      </c>
      <c r="T7">
        <f t="shared" si="17"/>
        <v>-253</v>
      </c>
      <c r="U7">
        <f t="shared" si="18"/>
        <v>-288</v>
      </c>
    </row>
    <row r="8" spans="1:21" x14ac:dyDescent="0.3">
      <c r="A8">
        <v>7</v>
      </c>
      <c r="B8">
        <f t="shared" si="0"/>
        <v>49</v>
      </c>
      <c r="D8">
        <f t="shared" si="1"/>
        <v>48</v>
      </c>
      <c r="E8">
        <f t="shared" si="2"/>
        <v>45</v>
      </c>
      <c r="F8">
        <f t="shared" si="3"/>
        <v>40</v>
      </c>
      <c r="G8">
        <f t="shared" si="4"/>
        <v>33</v>
      </c>
      <c r="H8">
        <f t="shared" si="5"/>
        <v>24</v>
      </c>
      <c r="I8">
        <f t="shared" si="6"/>
        <v>13</v>
      </c>
      <c r="J8">
        <f t="shared" si="7"/>
        <v>0</v>
      </c>
      <c r="K8">
        <f t="shared" si="8"/>
        <v>-15</v>
      </c>
      <c r="L8">
        <f t="shared" si="9"/>
        <v>-32</v>
      </c>
      <c r="M8">
        <f t="shared" si="10"/>
        <v>-51</v>
      </c>
      <c r="N8">
        <f t="shared" si="11"/>
        <v>-72</v>
      </c>
      <c r="O8">
        <f t="shared" si="12"/>
        <v>-95</v>
      </c>
      <c r="P8">
        <f t="shared" si="13"/>
        <v>-120</v>
      </c>
      <c r="Q8">
        <f t="shared" si="14"/>
        <v>-147</v>
      </c>
      <c r="R8">
        <f t="shared" si="15"/>
        <v>-176</v>
      </c>
      <c r="S8">
        <f t="shared" si="16"/>
        <v>-207</v>
      </c>
      <c r="T8">
        <f t="shared" si="17"/>
        <v>-240</v>
      </c>
      <c r="U8">
        <f t="shared" si="18"/>
        <v>-275</v>
      </c>
    </row>
    <row r="9" spans="1:21" x14ac:dyDescent="0.3">
      <c r="A9">
        <v>8</v>
      </c>
      <c r="B9">
        <f t="shared" si="0"/>
        <v>64</v>
      </c>
      <c r="D9">
        <f t="shared" si="1"/>
        <v>63</v>
      </c>
      <c r="E9">
        <f t="shared" si="2"/>
        <v>60</v>
      </c>
      <c r="F9">
        <f t="shared" si="3"/>
        <v>55</v>
      </c>
      <c r="G9">
        <f t="shared" si="4"/>
        <v>48</v>
      </c>
      <c r="H9">
        <f t="shared" si="5"/>
        <v>39</v>
      </c>
      <c r="I9">
        <f t="shared" si="6"/>
        <v>28</v>
      </c>
      <c r="J9">
        <f t="shared" si="7"/>
        <v>15</v>
      </c>
      <c r="K9">
        <f t="shared" si="8"/>
        <v>0</v>
      </c>
      <c r="L9">
        <f t="shared" si="9"/>
        <v>-17</v>
      </c>
      <c r="M9">
        <f t="shared" si="10"/>
        <v>-36</v>
      </c>
      <c r="N9">
        <f t="shared" si="11"/>
        <v>-57</v>
      </c>
      <c r="O9">
        <f t="shared" si="12"/>
        <v>-80</v>
      </c>
      <c r="P9">
        <f t="shared" si="13"/>
        <v>-105</v>
      </c>
      <c r="Q9">
        <f t="shared" si="14"/>
        <v>-132</v>
      </c>
      <c r="R9">
        <f t="shared" si="15"/>
        <v>-161</v>
      </c>
      <c r="S9">
        <f t="shared" si="16"/>
        <v>-192</v>
      </c>
      <c r="T9">
        <f t="shared" si="17"/>
        <v>-225</v>
      </c>
      <c r="U9">
        <f t="shared" si="18"/>
        <v>-260</v>
      </c>
    </row>
    <row r="10" spans="1:21" x14ac:dyDescent="0.3">
      <c r="A10">
        <v>9</v>
      </c>
      <c r="B10">
        <f t="shared" si="0"/>
        <v>81</v>
      </c>
      <c r="D10">
        <f t="shared" si="1"/>
        <v>80</v>
      </c>
      <c r="E10">
        <f t="shared" si="2"/>
        <v>77</v>
      </c>
      <c r="F10">
        <f t="shared" si="3"/>
        <v>72</v>
      </c>
      <c r="G10">
        <f t="shared" si="4"/>
        <v>65</v>
      </c>
      <c r="H10">
        <f t="shared" si="5"/>
        <v>56</v>
      </c>
      <c r="I10">
        <f t="shared" si="6"/>
        <v>45</v>
      </c>
      <c r="J10">
        <f t="shared" si="7"/>
        <v>32</v>
      </c>
      <c r="K10">
        <f t="shared" si="8"/>
        <v>17</v>
      </c>
      <c r="L10">
        <f t="shared" si="9"/>
        <v>0</v>
      </c>
      <c r="M10">
        <f t="shared" si="10"/>
        <v>-19</v>
      </c>
      <c r="N10">
        <f t="shared" si="11"/>
        <v>-40</v>
      </c>
      <c r="O10">
        <f t="shared" si="12"/>
        <v>-63</v>
      </c>
      <c r="P10">
        <f t="shared" si="13"/>
        <v>-88</v>
      </c>
      <c r="Q10">
        <f t="shared" si="14"/>
        <v>-115</v>
      </c>
      <c r="R10">
        <f t="shared" si="15"/>
        <v>-144</v>
      </c>
      <c r="S10">
        <f t="shared" si="16"/>
        <v>-175</v>
      </c>
      <c r="T10">
        <f t="shared" si="17"/>
        <v>-208</v>
      </c>
      <c r="U10">
        <f t="shared" si="18"/>
        <v>-243</v>
      </c>
    </row>
    <row r="11" spans="1:21" x14ac:dyDescent="0.3">
      <c r="A11">
        <v>10</v>
      </c>
      <c r="B11">
        <f t="shared" si="0"/>
        <v>100</v>
      </c>
      <c r="D11">
        <f t="shared" si="1"/>
        <v>99</v>
      </c>
      <c r="E11">
        <f t="shared" si="2"/>
        <v>96</v>
      </c>
      <c r="F11">
        <f t="shared" si="3"/>
        <v>91</v>
      </c>
      <c r="G11">
        <f t="shared" si="4"/>
        <v>84</v>
      </c>
      <c r="H11">
        <f t="shared" si="5"/>
        <v>75</v>
      </c>
      <c r="I11" s="10">
        <f t="shared" si="6"/>
        <v>64</v>
      </c>
      <c r="J11">
        <f t="shared" si="7"/>
        <v>51</v>
      </c>
      <c r="K11" s="10">
        <f t="shared" si="8"/>
        <v>36</v>
      </c>
      <c r="L11">
        <f t="shared" si="9"/>
        <v>19</v>
      </c>
      <c r="M11">
        <f t="shared" si="10"/>
        <v>0</v>
      </c>
      <c r="N11">
        <f t="shared" si="11"/>
        <v>-21</v>
      </c>
      <c r="O11">
        <f t="shared" si="12"/>
        <v>-44</v>
      </c>
      <c r="P11">
        <f t="shared" si="13"/>
        <v>-69</v>
      </c>
      <c r="Q11">
        <f t="shared" si="14"/>
        <v>-96</v>
      </c>
      <c r="R11">
        <f t="shared" si="15"/>
        <v>-125</v>
      </c>
      <c r="S11">
        <f t="shared" si="16"/>
        <v>-156</v>
      </c>
      <c r="T11">
        <f t="shared" si="17"/>
        <v>-189</v>
      </c>
      <c r="U11">
        <f t="shared" si="18"/>
        <v>-224</v>
      </c>
    </row>
    <row r="12" spans="1:21" x14ac:dyDescent="0.3">
      <c r="A12">
        <v>11</v>
      </c>
      <c r="B12">
        <f t="shared" si="0"/>
        <v>121</v>
      </c>
      <c r="D12">
        <f t="shared" si="1"/>
        <v>120</v>
      </c>
      <c r="E12">
        <f t="shared" si="2"/>
        <v>117</v>
      </c>
      <c r="F12">
        <f t="shared" si="3"/>
        <v>112</v>
      </c>
      <c r="G12">
        <f t="shared" si="4"/>
        <v>105</v>
      </c>
      <c r="H12">
        <f t="shared" si="5"/>
        <v>96</v>
      </c>
      <c r="I12">
        <f t="shared" si="6"/>
        <v>85</v>
      </c>
      <c r="J12">
        <f t="shared" si="7"/>
        <v>72</v>
      </c>
      <c r="K12">
        <f t="shared" si="8"/>
        <v>57</v>
      </c>
      <c r="L12">
        <f t="shared" si="9"/>
        <v>40</v>
      </c>
      <c r="M12">
        <f t="shared" si="10"/>
        <v>21</v>
      </c>
      <c r="N12">
        <f t="shared" si="11"/>
        <v>0</v>
      </c>
      <c r="O12">
        <f t="shared" si="12"/>
        <v>-23</v>
      </c>
      <c r="P12">
        <f t="shared" si="13"/>
        <v>-48</v>
      </c>
      <c r="Q12">
        <f t="shared" si="14"/>
        <v>-75</v>
      </c>
      <c r="R12">
        <f t="shared" si="15"/>
        <v>-104</v>
      </c>
      <c r="S12">
        <f t="shared" si="16"/>
        <v>-135</v>
      </c>
      <c r="T12">
        <f t="shared" si="17"/>
        <v>-168</v>
      </c>
      <c r="U12">
        <f t="shared" si="18"/>
        <v>-203</v>
      </c>
    </row>
    <row r="13" spans="1:21" x14ac:dyDescent="0.3">
      <c r="A13">
        <v>12</v>
      </c>
      <c r="B13">
        <f t="shared" si="0"/>
        <v>144</v>
      </c>
      <c r="D13">
        <f t="shared" si="1"/>
        <v>143</v>
      </c>
      <c r="E13">
        <f t="shared" si="2"/>
        <v>140</v>
      </c>
      <c r="F13">
        <f t="shared" si="3"/>
        <v>135</v>
      </c>
      <c r="G13">
        <f t="shared" si="4"/>
        <v>128</v>
      </c>
      <c r="H13">
        <f t="shared" si="5"/>
        <v>119</v>
      </c>
      <c r="I13">
        <f t="shared" si="6"/>
        <v>108</v>
      </c>
      <c r="J13">
        <f t="shared" si="7"/>
        <v>95</v>
      </c>
      <c r="K13">
        <f t="shared" si="8"/>
        <v>80</v>
      </c>
      <c r="L13">
        <f t="shared" si="9"/>
        <v>63</v>
      </c>
      <c r="M13">
        <f t="shared" si="10"/>
        <v>44</v>
      </c>
      <c r="N13">
        <f t="shared" si="11"/>
        <v>23</v>
      </c>
      <c r="O13">
        <f t="shared" si="12"/>
        <v>0</v>
      </c>
      <c r="P13">
        <f t="shared" si="13"/>
        <v>-25</v>
      </c>
      <c r="Q13">
        <f t="shared" si="14"/>
        <v>-52</v>
      </c>
      <c r="R13">
        <f t="shared" si="15"/>
        <v>-81</v>
      </c>
      <c r="S13">
        <f t="shared" si="16"/>
        <v>-112</v>
      </c>
      <c r="T13">
        <f t="shared" si="17"/>
        <v>-145</v>
      </c>
      <c r="U13">
        <f t="shared" si="18"/>
        <v>-180</v>
      </c>
    </row>
    <row r="14" spans="1:21" x14ac:dyDescent="0.3">
      <c r="A14">
        <v>13</v>
      </c>
      <c r="B14">
        <f t="shared" si="0"/>
        <v>169</v>
      </c>
      <c r="D14">
        <f t="shared" si="1"/>
        <v>168</v>
      </c>
      <c r="E14">
        <f t="shared" si="2"/>
        <v>165</v>
      </c>
      <c r="F14">
        <f t="shared" si="3"/>
        <v>160</v>
      </c>
      <c r="G14">
        <f t="shared" si="4"/>
        <v>153</v>
      </c>
      <c r="H14" s="10">
        <f t="shared" si="5"/>
        <v>144</v>
      </c>
      <c r="I14">
        <f t="shared" si="6"/>
        <v>133</v>
      </c>
      <c r="J14">
        <f t="shared" si="7"/>
        <v>120</v>
      </c>
      <c r="K14">
        <f t="shared" si="8"/>
        <v>105</v>
      </c>
      <c r="L14">
        <f t="shared" si="9"/>
        <v>88</v>
      </c>
      <c r="M14">
        <f t="shared" si="10"/>
        <v>69</v>
      </c>
      <c r="N14">
        <f t="shared" si="11"/>
        <v>48</v>
      </c>
      <c r="O14" s="10">
        <f t="shared" si="12"/>
        <v>25</v>
      </c>
      <c r="P14">
        <f t="shared" si="13"/>
        <v>0</v>
      </c>
      <c r="Q14">
        <f t="shared" si="14"/>
        <v>-27</v>
      </c>
      <c r="R14">
        <f t="shared" si="15"/>
        <v>-56</v>
      </c>
      <c r="S14">
        <f t="shared" si="16"/>
        <v>-87</v>
      </c>
      <c r="T14">
        <f t="shared" si="17"/>
        <v>-120</v>
      </c>
      <c r="U14">
        <f t="shared" si="18"/>
        <v>-155</v>
      </c>
    </row>
    <row r="15" spans="1:21" x14ac:dyDescent="0.3">
      <c r="A15">
        <v>14</v>
      </c>
      <c r="B15">
        <f t="shared" si="0"/>
        <v>196</v>
      </c>
      <c r="D15">
        <f t="shared" si="1"/>
        <v>195</v>
      </c>
      <c r="E15">
        <f t="shared" si="2"/>
        <v>192</v>
      </c>
      <c r="F15">
        <f t="shared" si="3"/>
        <v>187</v>
      </c>
      <c r="G15">
        <f t="shared" si="4"/>
        <v>180</v>
      </c>
      <c r="H15">
        <f t="shared" si="5"/>
        <v>171</v>
      </c>
      <c r="I15">
        <f t="shared" si="6"/>
        <v>160</v>
      </c>
      <c r="J15">
        <f t="shared" si="7"/>
        <v>147</v>
      </c>
      <c r="K15">
        <f t="shared" si="8"/>
        <v>132</v>
      </c>
      <c r="L15">
        <f t="shared" si="9"/>
        <v>115</v>
      </c>
      <c r="M15">
        <f t="shared" si="10"/>
        <v>96</v>
      </c>
      <c r="N15">
        <f t="shared" si="11"/>
        <v>75</v>
      </c>
      <c r="O15">
        <f t="shared" si="12"/>
        <v>52</v>
      </c>
      <c r="P15">
        <f t="shared" si="13"/>
        <v>27</v>
      </c>
      <c r="Q15">
        <f t="shared" si="14"/>
        <v>0</v>
      </c>
      <c r="R15">
        <f t="shared" si="15"/>
        <v>-29</v>
      </c>
      <c r="S15">
        <f t="shared" si="16"/>
        <v>-60</v>
      </c>
      <c r="T15">
        <f t="shared" si="17"/>
        <v>-93</v>
      </c>
      <c r="U15">
        <f t="shared" si="18"/>
        <v>-128</v>
      </c>
    </row>
    <row r="16" spans="1:21" x14ac:dyDescent="0.3">
      <c r="A16">
        <v>15</v>
      </c>
      <c r="B16">
        <f t="shared" si="0"/>
        <v>225</v>
      </c>
      <c r="D16">
        <f t="shared" si="1"/>
        <v>224</v>
      </c>
      <c r="E16">
        <f t="shared" si="2"/>
        <v>221</v>
      </c>
      <c r="F16">
        <f t="shared" si="3"/>
        <v>216</v>
      </c>
      <c r="G16">
        <f t="shared" si="4"/>
        <v>209</v>
      </c>
      <c r="H16" s="11">
        <f t="shared" si="5"/>
        <v>200</v>
      </c>
      <c r="I16">
        <f t="shared" si="6"/>
        <v>189</v>
      </c>
      <c r="J16">
        <f t="shared" si="7"/>
        <v>176</v>
      </c>
      <c r="K16">
        <f t="shared" si="8"/>
        <v>161</v>
      </c>
      <c r="L16" s="10">
        <f t="shared" si="9"/>
        <v>144</v>
      </c>
      <c r="M16">
        <f t="shared" si="10"/>
        <v>125</v>
      </c>
      <c r="N16">
        <f t="shared" si="11"/>
        <v>104</v>
      </c>
      <c r="O16">
        <f t="shared" si="12"/>
        <v>81</v>
      </c>
      <c r="P16">
        <f t="shared" si="13"/>
        <v>56</v>
      </c>
      <c r="Q16">
        <f t="shared" si="14"/>
        <v>29</v>
      </c>
      <c r="R16">
        <f t="shared" si="15"/>
        <v>0</v>
      </c>
      <c r="S16">
        <f t="shared" si="16"/>
        <v>-31</v>
      </c>
      <c r="T16">
        <f t="shared" si="17"/>
        <v>-64</v>
      </c>
      <c r="U16">
        <f t="shared" si="18"/>
        <v>-99</v>
      </c>
    </row>
    <row r="17" spans="1:21" x14ac:dyDescent="0.3">
      <c r="A17">
        <v>16</v>
      </c>
      <c r="B17">
        <f t="shared" si="0"/>
        <v>256</v>
      </c>
      <c r="D17">
        <f t="shared" si="1"/>
        <v>255</v>
      </c>
      <c r="E17">
        <f t="shared" si="2"/>
        <v>252</v>
      </c>
      <c r="F17">
        <f t="shared" si="3"/>
        <v>247</v>
      </c>
      <c r="G17">
        <f t="shared" si="4"/>
        <v>240</v>
      </c>
      <c r="H17">
        <f t="shared" si="5"/>
        <v>231</v>
      </c>
      <c r="I17">
        <f t="shared" si="6"/>
        <v>220</v>
      </c>
      <c r="J17">
        <f t="shared" si="7"/>
        <v>207</v>
      </c>
      <c r="K17">
        <f t="shared" si="8"/>
        <v>192</v>
      </c>
      <c r="L17">
        <f t="shared" si="9"/>
        <v>175</v>
      </c>
      <c r="M17">
        <f t="shared" si="10"/>
        <v>156</v>
      </c>
      <c r="N17">
        <f t="shared" si="11"/>
        <v>135</v>
      </c>
      <c r="O17">
        <f t="shared" si="12"/>
        <v>112</v>
      </c>
      <c r="P17">
        <f t="shared" si="13"/>
        <v>87</v>
      </c>
      <c r="Q17">
        <f t="shared" si="14"/>
        <v>60</v>
      </c>
      <c r="R17">
        <f t="shared" si="15"/>
        <v>31</v>
      </c>
      <c r="S17">
        <f t="shared" si="16"/>
        <v>0</v>
      </c>
      <c r="T17">
        <f t="shared" si="17"/>
        <v>-33</v>
      </c>
      <c r="U17">
        <f t="shared" si="18"/>
        <v>-68</v>
      </c>
    </row>
    <row r="18" spans="1:21" x14ac:dyDescent="0.3">
      <c r="A18">
        <v>17</v>
      </c>
      <c r="B18">
        <f t="shared" si="0"/>
        <v>289</v>
      </c>
      <c r="D18">
        <f t="shared" si="1"/>
        <v>288</v>
      </c>
      <c r="E18">
        <f t="shared" si="2"/>
        <v>285</v>
      </c>
      <c r="F18">
        <f t="shared" si="3"/>
        <v>280</v>
      </c>
      <c r="G18">
        <f t="shared" si="4"/>
        <v>273</v>
      </c>
      <c r="H18">
        <f t="shared" si="5"/>
        <v>264</v>
      </c>
      <c r="I18">
        <f t="shared" si="6"/>
        <v>253</v>
      </c>
      <c r="J18">
        <f t="shared" si="7"/>
        <v>240</v>
      </c>
      <c r="K18" s="10">
        <f t="shared" si="8"/>
        <v>225</v>
      </c>
      <c r="L18">
        <f t="shared" si="9"/>
        <v>208</v>
      </c>
      <c r="M18">
        <f t="shared" si="10"/>
        <v>189</v>
      </c>
      <c r="N18">
        <f t="shared" si="11"/>
        <v>168</v>
      </c>
      <c r="O18">
        <f t="shared" si="12"/>
        <v>145</v>
      </c>
      <c r="P18">
        <f t="shared" si="13"/>
        <v>120</v>
      </c>
      <c r="Q18">
        <f t="shared" si="14"/>
        <v>93</v>
      </c>
      <c r="R18" s="10">
        <f t="shared" si="15"/>
        <v>64</v>
      </c>
      <c r="S18">
        <f t="shared" si="16"/>
        <v>33</v>
      </c>
      <c r="T18">
        <f t="shared" si="17"/>
        <v>0</v>
      </c>
      <c r="U18">
        <f t="shared" si="18"/>
        <v>-35</v>
      </c>
    </row>
    <row r="19" spans="1:21" x14ac:dyDescent="0.3">
      <c r="A19">
        <v>18</v>
      </c>
      <c r="B19">
        <f t="shared" si="0"/>
        <v>324</v>
      </c>
      <c r="D19">
        <f t="shared" si="1"/>
        <v>323</v>
      </c>
      <c r="E19">
        <f t="shared" si="2"/>
        <v>320</v>
      </c>
      <c r="F19">
        <f t="shared" si="3"/>
        <v>315</v>
      </c>
      <c r="G19">
        <f t="shared" si="4"/>
        <v>308</v>
      </c>
      <c r="H19">
        <f t="shared" si="5"/>
        <v>299</v>
      </c>
      <c r="I19">
        <f t="shared" si="6"/>
        <v>288</v>
      </c>
      <c r="J19">
        <f t="shared" si="7"/>
        <v>275</v>
      </c>
      <c r="K19">
        <f t="shared" si="8"/>
        <v>260</v>
      </c>
      <c r="L19">
        <f t="shared" si="9"/>
        <v>243</v>
      </c>
      <c r="M19">
        <f t="shared" si="10"/>
        <v>224</v>
      </c>
      <c r="N19">
        <f t="shared" si="11"/>
        <v>203</v>
      </c>
      <c r="O19">
        <f t="shared" si="12"/>
        <v>180</v>
      </c>
      <c r="P19">
        <f t="shared" si="13"/>
        <v>155</v>
      </c>
      <c r="Q19">
        <f t="shared" si="14"/>
        <v>128</v>
      </c>
      <c r="R19">
        <f t="shared" si="15"/>
        <v>99</v>
      </c>
      <c r="S19">
        <f t="shared" si="16"/>
        <v>68</v>
      </c>
      <c r="T19">
        <f t="shared" si="17"/>
        <v>35</v>
      </c>
      <c r="U19">
        <f t="shared" si="18"/>
        <v>0</v>
      </c>
    </row>
    <row r="20" spans="1:21" x14ac:dyDescent="0.3">
      <c r="A20">
        <v>19</v>
      </c>
      <c r="B20">
        <f t="shared" si="0"/>
        <v>361</v>
      </c>
      <c r="D20">
        <f t="shared" si="1"/>
        <v>360</v>
      </c>
      <c r="E20">
        <f t="shared" si="2"/>
        <v>357</v>
      </c>
      <c r="F20">
        <f t="shared" si="3"/>
        <v>352</v>
      </c>
      <c r="G20">
        <f t="shared" si="4"/>
        <v>345</v>
      </c>
      <c r="H20">
        <f t="shared" si="5"/>
        <v>336</v>
      </c>
      <c r="I20">
        <f t="shared" si="6"/>
        <v>325</v>
      </c>
      <c r="J20">
        <f t="shared" si="7"/>
        <v>312</v>
      </c>
      <c r="K20">
        <f t="shared" si="8"/>
        <v>297</v>
      </c>
      <c r="L20">
        <f t="shared" si="9"/>
        <v>280</v>
      </c>
      <c r="M20">
        <f t="shared" si="10"/>
        <v>261</v>
      </c>
      <c r="N20">
        <f t="shared" si="11"/>
        <v>240</v>
      </c>
      <c r="O20">
        <f t="shared" si="12"/>
        <v>217</v>
      </c>
      <c r="P20">
        <f t="shared" si="13"/>
        <v>192</v>
      </c>
      <c r="Q20">
        <f t="shared" si="14"/>
        <v>165</v>
      </c>
      <c r="R20">
        <f t="shared" si="15"/>
        <v>136</v>
      </c>
      <c r="S20">
        <f t="shared" si="16"/>
        <v>105</v>
      </c>
      <c r="T20">
        <f t="shared" si="17"/>
        <v>72</v>
      </c>
      <c r="U20">
        <f t="shared" si="18"/>
        <v>37</v>
      </c>
    </row>
    <row r="21" spans="1:21" x14ac:dyDescent="0.3">
      <c r="A21">
        <v>20</v>
      </c>
      <c r="B21">
        <f t="shared" si="0"/>
        <v>400</v>
      </c>
      <c r="D21">
        <f t="shared" si="1"/>
        <v>399</v>
      </c>
      <c r="E21">
        <f t="shared" si="2"/>
        <v>396</v>
      </c>
      <c r="F21">
        <f t="shared" si="3"/>
        <v>391</v>
      </c>
      <c r="G21">
        <f t="shared" si="4"/>
        <v>384</v>
      </c>
      <c r="H21">
        <f t="shared" si="5"/>
        <v>375</v>
      </c>
      <c r="I21">
        <f t="shared" si="6"/>
        <v>364</v>
      </c>
      <c r="J21">
        <f t="shared" si="7"/>
        <v>351</v>
      </c>
      <c r="K21">
        <f t="shared" si="8"/>
        <v>336</v>
      </c>
      <c r="L21">
        <f t="shared" si="9"/>
        <v>319</v>
      </c>
      <c r="M21" s="11">
        <f t="shared" si="10"/>
        <v>300</v>
      </c>
      <c r="N21">
        <f t="shared" si="11"/>
        <v>279</v>
      </c>
      <c r="O21" s="10">
        <f t="shared" si="12"/>
        <v>256</v>
      </c>
      <c r="P21">
        <f t="shared" si="13"/>
        <v>231</v>
      </c>
      <c r="Q21">
        <f t="shared" si="14"/>
        <v>204</v>
      </c>
      <c r="R21">
        <f t="shared" si="15"/>
        <v>175</v>
      </c>
      <c r="S21" s="10">
        <f t="shared" si="16"/>
        <v>144</v>
      </c>
      <c r="T21">
        <f t="shared" si="17"/>
        <v>111</v>
      </c>
      <c r="U21">
        <f t="shared" si="18"/>
        <v>76</v>
      </c>
    </row>
    <row r="22" spans="1:21" x14ac:dyDescent="0.3">
      <c r="A22">
        <v>21</v>
      </c>
      <c r="B22">
        <f t="shared" si="0"/>
        <v>441</v>
      </c>
      <c r="D22">
        <f t="shared" si="1"/>
        <v>440</v>
      </c>
      <c r="E22">
        <f t="shared" si="2"/>
        <v>437</v>
      </c>
      <c r="F22">
        <f t="shared" si="3"/>
        <v>432</v>
      </c>
      <c r="G22">
        <f t="shared" si="4"/>
        <v>425</v>
      </c>
      <c r="H22">
        <f t="shared" si="5"/>
        <v>416</v>
      </c>
      <c r="I22">
        <f t="shared" si="6"/>
        <v>405</v>
      </c>
      <c r="J22">
        <f t="shared" si="7"/>
        <v>392</v>
      </c>
      <c r="K22">
        <f t="shared" si="8"/>
        <v>377</v>
      </c>
      <c r="L22">
        <f t="shared" si="9"/>
        <v>360</v>
      </c>
      <c r="M22">
        <f t="shared" si="10"/>
        <v>341</v>
      </c>
      <c r="N22">
        <f t="shared" si="11"/>
        <v>320</v>
      </c>
      <c r="O22">
        <f t="shared" si="12"/>
        <v>297</v>
      </c>
      <c r="P22">
        <f t="shared" si="13"/>
        <v>272</v>
      </c>
      <c r="Q22">
        <f t="shared" si="14"/>
        <v>245</v>
      </c>
      <c r="R22">
        <f t="shared" si="15"/>
        <v>216</v>
      </c>
      <c r="S22">
        <f t="shared" si="16"/>
        <v>185</v>
      </c>
      <c r="T22">
        <f t="shared" si="17"/>
        <v>152</v>
      </c>
      <c r="U22">
        <f t="shared" si="18"/>
        <v>117</v>
      </c>
    </row>
    <row r="23" spans="1:21" x14ac:dyDescent="0.3">
      <c r="A23">
        <v>22</v>
      </c>
      <c r="B23">
        <f t="shared" si="0"/>
        <v>484</v>
      </c>
      <c r="D23">
        <f t="shared" si="1"/>
        <v>483</v>
      </c>
      <c r="E23">
        <f t="shared" si="2"/>
        <v>480</v>
      </c>
      <c r="F23">
        <f t="shared" si="3"/>
        <v>475</v>
      </c>
      <c r="G23">
        <f t="shared" si="4"/>
        <v>468</v>
      </c>
      <c r="H23">
        <f t="shared" si="5"/>
        <v>459</v>
      </c>
      <c r="I23">
        <f t="shared" si="6"/>
        <v>448</v>
      </c>
      <c r="J23">
        <f t="shared" si="7"/>
        <v>435</v>
      </c>
      <c r="K23">
        <f t="shared" si="8"/>
        <v>420</v>
      </c>
      <c r="L23">
        <f t="shared" si="9"/>
        <v>403</v>
      </c>
      <c r="M23">
        <f t="shared" si="10"/>
        <v>384</v>
      </c>
      <c r="N23">
        <f t="shared" si="11"/>
        <v>363</v>
      </c>
      <c r="O23">
        <f t="shared" si="12"/>
        <v>340</v>
      </c>
      <c r="P23">
        <f t="shared" si="13"/>
        <v>315</v>
      </c>
      <c r="Q23">
        <f t="shared" si="14"/>
        <v>288</v>
      </c>
      <c r="R23">
        <f t="shared" si="15"/>
        <v>259</v>
      </c>
      <c r="S23">
        <f t="shared" si="16"/>
        <v>228</v>
      </c>
      <c r="T23">
        <f t="shared" si="17"/>
        <v>195</v>
      </c>
      <c r="U23">
        <f t="shared" si="18"/>
        <v>160</v>
      </c>
    </row>
    <row r="24" spans="1:21" x14ac:dyDescent="0.3">
      <c r="A24">
        <v>23</v>
      </c>
      <c r="B24">
        <f t="shared" si="0"/>
        <v>529</v>
      </c>
      <c r="D24">
        <f t="shared" si="1"/>
        <v>528</v>
      </c>
      <c r="E24">
        <f t="shared" si="2"/>
        <v>525</v>
      </c>
      <c r="F24">
        <f t="shared" si="3"/>
        <v>520</v>
      </c>
      <c r="G24">
        <f t="shared" si="4"/>
        <v>513</v>
      </c>
      <c r="H24">
        <f t="shared" si="5"/>
        <v>504</v>
      </c>
      <c r="I24">
        <f t="shared" si="6"/>
        <v>493</v>
      </c>
      <c r="J24">
        <f t="shared" si="7"/>
        <v>480</v>
      </c>
      <c r="K24">
        <f t="shared" si="8"/>
        <v>465</v>
      </c>
      <c r="L24">
        <f t="shared" si="9"/>
        <v>448</v>
      </c>
      <c r="M24">
        <f t="shared" si="10"/>
        <v>429</v>
      </c>
      <c r="N24">
        <f t="shared" si="11"/>
        <v>408</v>
      </c>
      <c r="O24">
        <f t="shared" si="12"/>
        <v>385</v>
      </c>
      <c r="P24">
        <f t="shared" si="13"/>
        <v>360</v>
      </c>
      <c r="Q24">
        <f t="shared" si="14"/>
        <v>333</v>
      </c>
      <c r="R24">
        <f t="shared" si="15"/>
        <v>304</v>
      </c>
      <c r="S24">
        <f t="shared" si="16"/>
        <v>273</v>
      </c>
      <c r="T24">
        <f t="shared" si="17"/>
        <v>240</v>
      </c>
      <c r="U24">
        <f t="shared" si="18"/>
        <v>205</v>
      </c>
    </row>
    <row r="25" spans="1:21" x14ac:dyDescent="0.3">
      <c r="A25">
        <v>24</v>
      </c>
      <c r="B25">
        <f t="shared" si="0"/>
        <v>576</v>
      </c>
      <c r="D25">
        <f t="shared" si="1"/>
        <v>575</v>
      </c>
      <c r="E25">
        <f t="shared" si="2"/>
        <v>572</v>
      </c>
      <c r="F25">
        <f t="shared" si="3"/>
        <v>567</v>
      </c>
      <c r="G25">
        <f t="shared" si="4"/>
        <v>560</v>
      </c>
      <c r="H25">
        <f t="shared" si="5"/>
        <v>551</v>
      </c>
      <c r="I25">
        <f t="shared" si="6"/>
        <v>540</v>
      </c>
      <c r="J25">
        <f t="shared" si="7"/>
        <v>527</v>
      </c>
      <c r="K25">
        <f t="shared" si="8"/>
        <v>512</v>
      </c>
      <c r="L25">
        <f t="shared" si="9"/>
        <v>495</v>
      </c>
      <c r="M25">
        <f t="shared" si="10"/>
        <v>476</v>
      </c>
      <c r="N25">
        <f t="shared" si="11"/>
        <v>455</v>
      </c>
      <c r="O25">
        <f t="shared" si="12"/>
        <v>432</v>
      </c>
      <c r="P25">
        <f t="shared" si="13"/>
        <v>407</v>
      </c>
      <c r="Q25">
        <f t="shared" si="14"/>
        <v>380</v>
      </c>
      <c r="R25">
        <f t="shared" si="15"/>
        <v>351</v>
      </c>
      <c r="S25">
        <f t="shared" si="16"/>
        <v>320</v>
      </c>
      <c r="T25">
        <f t="shared" si="17"/>
        <v>287</v>
      </c>
      <c r="U25">
        <f t="shared" si="18"/>
        <v>252</v>
      </c>
    </row>
    <row r="26" spans="1:21" x14ac:dyDescent="0.3">
      <c r="A26">
        <v>25</v>
      </c>
      <c r="B26">
        <f t="shared" si="0"/>
        <v>625</v>
      </c>
      <c r="D26">
        <f t="shared" si="1"/>
        <v>624</v>
      </c>
      <c r="E26">
        <f t="shared" si="2"/>
        <v>621</v>
      </c>
      <c r="F26">
        <f t="shared" si="3"/>
        <v>616</v>
      </c>
      <c r="G26">
        <f t="shared" si="4"/>
        <v>609</v>
      </c>
      <c r="H26" s="11">
        <f t="shared" si="5"/>
        <v>600</v>
      </c>
      <c r="I26">
        <f t="shared" si="6"/>
        <v>589</v>
      </c>
      <c r="J26" s="10">
        <f t="shared" si="7"/>
        <v>576</v>
      </c>
      <c r="K26">
        <f t="shared" si="8"/>
        <v>561</v>
      </c>
      <c r="L26">
        <f t="shared" si="9"/>
        <v>544</v>
      </c>
      <c r="M26">
        <f t="shared" si="10"/>
        <v>525</v>
      </c>
      <c r="N26">
        <f t="shared" si="11"/>
        <v>504</v>
      </c>
      <c r="O26">
        <f t="shared" si="12"/>
        <v>481</v>
      </c>
      <c r="P26">
        <f t="shared" si="13"/>
        <v>456</v>
      </c>
      <c r="Q26">
        <f t="shared" si="14"/>
        <v>429</v>
      </c>
      <c r="R26" s="10">
        <f t="shared" si="15"/>
        <v>400</v>
      </c>
      <c r="S26">
        <f t="shared" si="16"/>
        <v>369</v>
      </c>
      <c r="T26">
        <f t="shared" si="17"/>
        <v>336</v>
      </c>
      <c r="U26">
        <f t="shared" si="18"/>
        <v>301</v>
      </c>
    </row>
    <row r="27" spans="1:21" x14ac:dyDescent="0.3">
      <c r="A27">
        <v>26</v>
      </c>
      <c r="B27">
        <f t="shared" si="0"/>
        <v>676</v>
      </c>
      <c r="D27">
        <f t="shared" si="1"/>
        <v>675</v>
      </c>
      <c r="E27">
        <f t="shared" si="2"/>
        <v>672</v>
      </c>
      <c r="F27">
        <f t="shared" si="3"/>
        <v>667</v>
      </c>
      <c r="G27">
        <f t="shared" si="4"/>
        <v>660</v>
      </c>
      <c r="H27">
        <f t="shared" si="5"/>
        <v>651</v>
      </c>
      <c r="I27">
        <f t="shared" si="6"/>
        <v>640</v>
      </c>
      <c r="J27">
        <f t="shared" si="7"/>
        <v>627</v>
      </c>
      <c r="K27">
        <f t="shared" si="8"/>
        <v>612</v>
      </c>
      <c r="L27">
        <f t="shared" si="9"/>
        <v>595</v>
      </c>
      <c r="M27" s="10">
        <f t="shared" si="10"/>
        <v>576</v>
      </c>
      <c r="N27">
        <f t="shared" si="11"/>
        <v>555</v>
      </c>
      <c r="O27">
        <f t="shared" si="12"/>
        <v>532</v>
      </c>
      <c r="P27">
        <f t="shared" si="13"/>
        <v>507</v>
      </c>
      <c r="Q27">
        <f t="shared" si="14"/>
        <v>480</v>
      </c>
      <c r="R27">
        <f t="shared" si="15"/>
        <v>451</v>
      </c>
      <c r="S27">
        <f t="shared" si="16"/>
        <v>420</v>
      </c>
      <c r="T27">
        <f t="shared" si="17"/>
        <v>387</v>
      </c>
      <c r="U27">
        <f t="shared" si="18"/>
        <v>352</v>
      </c>
    </row>
    <row r="28" spans="1:21" x14ac:dyDescent="0.3">
      <c r="A28">
        <v>27</v>
      </c>
      <c r="B28">
        <f t="shared" si="0"/>
        <v>729</v>
      </c>
      <c r="D28">
        <f t="shared" si="1"/>
        <v>728</v>
      </c>
      <c r="E28">
        <f t="shared" si="2"/>
        <v>725</v>
      </c>
      <c r="F28">
        <f t="shared" si="3"/>
        <v>720</v>
      </c>
      <c r="G28">
        <f t="shared" si="4"/>
        <v>713</v>
      </c>
      <c r="H28">
        <f t="shared" si="5"/>
        <v>704</v>
      </c>
      <c r="I28">
        <f t="shared" si="6"/>
        <v>693</v>
      </c>
      <c r="J28">
        <f t="shared" si="7"/>
        <v>680</v>
      </c>
      <c r="K28">
        <f t="shared" si="8"/>
        <v>665</v>
      </c>
      <c r="L28">
        <f t="shared" si="9"/>
        <v>648</v>
      </c>
      <c r="M28">
        <f t="shared" si="10"/>
        <v>629</v>
      </c>
      <c r="N28">
        <f t="shared" si="11"/>
        <v>608</v>
      </c>
      <c r="O28">
        <f t="shared" si="12"/>
        <v>585</v>
      </c>
      <c r="P28">
        <f t="shared" si="13"/>
        <v>560</v>
      </c>
      <c r="Q28">
        <f t="shared" si="14"/>
        <v>533</v>
      </c>
      <c r="R28">
        <f t="shared" si="15"/>
        <v>504</v>
      </c>
      <c r="S28">
        <f t="shared" si="16"/>
        <v>473</v>
      </c>
      <c r="T28">
        <f t="shared" si="17"/>
        <v>440</v>
      </c>
      <c r="U28">
        <f t="shared" si="18"/>
        <v>405</v>
      </c>
    </row>
    <row r="29" spans="1:21" x14ac:dyDescent="0.3">
      <c r="A29">
        <v>28</v>
      </c>
      <c r="B29">
        <f t="shared" si="0"/>
        <v>784</v>
      </c>
      <c r="D29">
        <f t="shared" si="1"/>
        <v>783</v>
      </c>
      <c r="E29">
        <f t="shared" si="2"/>
        <v>780</v>
      </c>
      <c r="F29">
        <f t="shared" si="3"/>
        <v>775</v>
      </c>
      <c r="G29">
        <f t="shared" si="4"/>
        <v>768</v>
      </c>
      <c r="H29">
        <f t="shared" si="5"/>
        <v>759</v>
      </c>
      <c r="I29">
        <f t="shared" si="6"/>
        <v>748</v>
      </c>
      <c r="J29">
        <f t="shared" si="7"/>
        <v>735</v>
      </c>
      <c r="K29">
        <f t="shared" si="8"/>
        <v>720</v>
      </c>
      <c r="L29">
        <f t="shared" si="9"/>
        <v>703</v>
      </c>
      <c r="M29">
        <f t="shared" si="10"/>
        <v>684</v>
      </c>
      <c r="N29">
        <f t="shared" si="11"/>
        <v>663</v>
      </c>
      <c r="O29">
        <f t="shared" si="12"/>
        <v>640</v>
      </c>
      <c r="P29">
        <f t="shared" si="13"/>
        <v>615</v>
      </c>
      <c r="Q29">
        <f t="shared" si="14"/>
        <v>588</v>
      </c>
      <c r="R29">
        <f t="shared" si="15"/>
        <v>559</v>
      </c>
      <c r="S29">
        <f t="shared" si="16"/>
        <v>528</v>
      </c>
      <c r="T29">
        <f t="shared" si="17"/>
        <v>495</v>
      </c>
      <c r="U29">
        <f t="shared" si="18"/>
        <v>460</v>
      </c>
    </row>
    <row r="30" spans="1:21" x14ac:dyDescent="0.3">
      <c r="A30">
        <v>29</v>
      </c>
      <c r="B30">
        <f t="shared" si="0"/>
        <v>841</v>
      </c>
      <c r="D30">
        <f t="shared" si="1"/>
        <v>840</v>
      </c>
      <c r="E30">
        <f t="shared" si="2"/>
        <v>837</v>
      </c>
      <c r="F30">
        <f t="shared" si="3"/>
        <v>832</v>
      </c>
      <c r="G30">
        <f t="shared" si="4"/>
        <v>825</v>
      </c>
      <c r="H30">
        <f t="shared" si="5"/>
        <v>816</v>
      </c>
      <c r="I30">
        <f t="shared" si="6"/>
        <v>805</v>
      </c>
      <c r="J30">
        <f t="shared" si="7"/>
        <v>792</v>
      </c>
      <c r="K30">
        <f t="shared" si="8"/>
        <v>777</v>
      </c>
      <c r="L30">
        <f t="shared" si="9"/>
        <v>760</v>
      </c>
      <c r="M30">
        <f t="shared" si="10"/>
        <v>741</v>
      </c>
      <c r="N30">
        <f t="shared" si="11"/>
        <v>720</v>
      </c>
      <c r="O30">
        <f t="shared" si="12"/>
        <v>697</v>
      </c>
      <c r="P30">
        <f t="shared" si="13"/>
        <v>672</v>
      </c>
      <c r="Q30">
        <f t="shared" si="14"/>
        <v>645</v>
      </c>
      <c r="R30">
        <f t="shared" si="15"/>
        <v>616</v>
      </c>
      <c r="S30">
        <f t="shared" si="16"/>
        <v>585</v>
      </c>
      <c r="T30">
        <f t="shared" si="17"/>
        <v>552</v>
      </c>
      <c r="U30">
        <f t="shared" si="18"/>
        <v>517</v>
      </c>
    </row>
    <row r="31" spans="1:21" x14ac:dyDescent="0.3">
      <c r="A31">
        <v>30</v>
      </c>
      <c r="B31">
        <f t="shared" si="0"/>
        <v>900</v>
      </c>
      <c r="D31">
        <f t="shared" si="1"/>
        <v>899</v>
      </c>
      <c r="E31">
        <f t="shared" si="2"/>
        <v>896</v>
      </c>
      <c r="F31">
        <f t="shared" si="3"/>
        <v>891</v>
      </c>
      <c r="G31">
        <f t="shared" si="4"/>
        <v>884</v>
      </c>
      <c r="H31">
        <f t="shared" si="5"/>
        <v>875</v>
      </c>
      <c r="I31">
        <f t="shared" si="6"/>
        <v>864</v>
      </c>
      <c r="J31">
        <f t="shared" si="7"/>
        <v>851</v>
      </c>
      <c r="K31">
        <f t="shared" si="8"/>
        <v>836</v>
      </c>
      <c r="L31">
        <f t="shared" si="9"/>
        <v>819</v>
      </c>
      <c r="M31" s="11">
        <f t="shared" si="10"/>
        <v>800</v>
      </c>
      <c r="N31">
        <f t="shared" si="11"/>
        <v>779</v>
      </c>
      <c r="O31">
        <f t="shared" si="12"/>
        <v>756</v>
      </c>
      <c r="P31">
        <f t="shared" si="13"/>
        <v>731</v>
      </c>
      <c r="Q31">
        <f t="shared" si="14"/>
        <v>704</v>
      </c>
      <c r="R31">
        <f t="shared" si="15"/>
        <v>675</v>
      </c>
      <c r="S31">
        <f t="shared" si="16"/>
        <v>644</v>
      </c>
      <c r="T31">
        <f t="shared" si="17"/>
        <v>611</v>
      </c>
      <c r="U31" s="10">
        <f t="shared" si="18"/>
        <v>576</v>
      </c>
    </row>
    <row r="32" spans="1:21" x14ac:dyDescent="0.3">
      <c r="A32">
        <v>31</v>
      </c>
      <c r="B32">
        <f t="shared" si="0"/>
        <v>961</v>
      </c>
      <c r="D32">
        <f t="shared" si="1"/>
        <v>960</v>
      </c>
      <c r="E32">
        <f t="shared" si="2"/>
        <v>957</v>
      </c>
      <c r="F32">
        <f t="shared" si="3"/>
        <v>952</v>
      </c>
      <c r="G32">
        <f t="shared" si="4"/>
        <v>945</v>
      </c>
      <c r="H32">
        <f t="shared" si="5"/>
        <v>936</v>
      </c>
      <c r="I32">
        <f t="shared" si="6"/>
        <v>925</v>
      </c>
      <c r="J32">
        <f t="shared" si="7"/>
        <v>912</v>
      </c>
      <c r="K32">
        <f t="shared" si="8"/>
        <v>897</v>
      </c>
      <c r="L32">
        <f t="shared" si="9"/>
        <v>880</v>
      </c>
      <c r="M32">
        <f t="shared" si="10"/>
        <v>861</v>
      </c>
      <c r="N32">
        <f t="shared" si="11"/>
        <v>840</v>
      </c>
      <c r="O32">
        <f t="shared" si="12"/>
        <v>817</v>
      </c>
      <c r="P32">
        <f t="shared" si="13"/>
        <v>792</v>
      </c>
      <c r="Q32">
        <f t="shared" si="14"/>
        <v>765</v>
      </c>
      <c r="R32">
        <f t="shared" si="15"/>
        <v>736</v>
      </c>
      <c r="S32">
        <f t="shared" si="16"/>
        <v>705</v>
      </c>
      <c r="T32">
        <f t="shared" si="17"/>
        <v>672</v>
      </c>
      <c r="U32">
        <f t="shared" si="18"/>
        <v>637</v>
      </c>
    </row>
    <row r="33" spans="1:21" x14ac:dyDescent="0.3">
      <c r="A33">
        <v>32</v>
      </c>
      <c r="B33">
        <f t="shared" si="0"/>
        <v>1024</v>
      </c>
      <c r="D33">
        <f t="shared" si="1"/>
        <v>1023</v>
      </c>
      <c r="E33">
        <f t="shared" si="2"/>
        <v>1020</v>
      </c>
      <c r="F33">
        <f t="shared" si="3"/>
        <v>1015</v>
      </c>
      <c r="G33">
        <f t="shared" si="4"/>
        <v>1008</v>
      </c>
      <c r="H33">
        <f t="shared" si="5"/>
        <v>999</v>
      </c>
      <c r="I33">
        <f t="shared" si="6"/>
        <v>988</v>
      </c>
      <c r="J33">
        <f t="shared" si="7"/>
        <v>975</v>
      </c>
      <c r="K33">
        <f t="shared" si="8"/>
        <v>960</v>
      </c>
      <c r="L33">
        <f t="shared" si="9"/>
        <v>943</v>
      </c>
      <c r="M33">
        <f t="shared" si="10"/>
        <v>924</v>
      </c>
      <c r="N33">
        <f t="shared" si="11"/>
        <v>903</v>
      </c>
      <c r="O33">
        <f t="shared" si="12"/>
        <v>880</v>
      </c>
      <c r="P33">
        <f t="shared" si="13"/>
        <v>855</v>
      </c>
      <c r="Q33">
        <f t="shared" si="14"/>
        <v>828</v>
      </c>
      <c r="R33">
        <f t="shared" si="15"/>
        <v>799</v>
      </c>
      <c r="S33">
        <f t="shared" si="16"/>
        <v>768</v>
      </c>
      <c r="T33">
        <f t="shared" si="17"/>
        <v>735</v>
      </c>
      <c r="U33">
        <f t="shared" si="18"/>
        <v>700</v>
      </c>
    </row>
    <row r="34" spans="1:21" x14ac:dyDescent="0.3">
      <c r="A34">
        <v>33</v>
      </c>
      <c r="B34">
        <f t="shared" si="0"/>
        <v>1089</v>
      </c>
      <c r="D34">
        <f t="shared" si="1"/>
        <v>1088</v>
      </c>
      <c r="E34">
        <f t="shared" si="2"/>
        <v>1085</v>
      </c>
      <c r="F34">
        <f t="shared" si="3"/>
        <v>1080</v>
      </c>
      <c r="G34">
        <f t="shared" si="4"/>
        <v>1073</v>
      </c>
      <c r="H34">
        <f t="shared" si="5"/>
        <v>1064</v>
      </c>
      <c r="I34">
        <f t="shared" si="6"/>
        <v>1053</v>
      </c>
      <c r="J34">
        <f t="shared" si="7"/>
        <v>1040</v>
      </c>
      <c r="K34">
        <f t="shared" si="8"/>
        <v>1025</v>
      </c>
      <c r="L34">
        <f t="shared" si="9"/>
        <v>1008</v>
      </c>
      <c r="M34">
        <f t="shared" si="10"/>
        <v>989</v>
      </c>
      <c r="N34">
        <f t="shared" si="11"/>
        <v>968</v>
      </c>
      <c r="O34">
        <f t="shared" si="12"/>
        <v>945</v>
      </c>
      <c r="P34">
        <f t="shared" si="13"/>
        <v>920</v>
      </c>
      <c r="Q34">
        <f t="shared" si="14"/>
        <v>893</v>
      </c>
      <c r="R34">
        <f t="shared" si="15"/>
        <v>864</v>
      </c>
      <c r="S34">
        <f t="shared" si="16"/>
        <v>833</v>
      </c>
      <c r="T34" s="11">
        <f t="shared" si="17"/>
        <v>800</v>
      </c>
      <c r="U34">
        <f t="shared" si="18"/>
        <v>765</v>
      </c>
    </row>
    <row r="35" spans="1:21" x14ac:dyDescent="0.3">
      <c r="A35">
        <v>34</v>
      </c>
      <c r="B35">
        <f t="shared" si="0"/>
        <v>1156</v>
      </c>
      <c r="D35">
        <f t="shared" si="1"/>
        <v>1155</v>
      </c>
      <c r="E35">
        <f>B35-B$3</f>
        <v>1152</v>
      </c>
      <c r="F35">
        <f t="shared" si="3"/>
        <v>1147</v>
      </c>
      <c r="G35">
        <f t="shared" si="4"/>
        <v>1140</v>
      </c>
      <c r="H35">
        <f t="shared" si="5"/>
        <v>1131</v>
      </c>
      <c r="I35">
        <f t="shared" si="6"/>
        <v>1120</v>
      </c>
      <c r="J35">
        <f t="shared" si="7"/>
        <v>1107</v>
      </c>
      <c r="K35">
        <f t="shared" si="8"/>
        <v>1092</v>
      </c>
      <c r="L35">
        <f t="shared" si="9"/>
        <v>1075</v>
      </c>
      <c r="M35">
        <f t="shared" si="10"/>
        <v>1056</v>
      </c>
      <c r="N35">
        <f t="shared" si="11"/>
        <v>1035</v>
      </c>
      <c r="O35">
        <f t="shared" si="12"/>
        <v>1012</v>
      </c>
      <c r="P35">
        <f>$B35-$B$14</f>
        <v>987</v>
      </c>
      <c r="Q35">
        <f t="shared" si="14"/>
        <v>960</v>
      </c>
      <c r="R35">
        <f t="shared" si="15"/>
        <v>931</v>
      </c>
      <c r="S35" s="10">
        <f t="shared" si="16"/>
        <v>900</v>
      </c>
      <c r="T35">
        <f t="shared" si="17"/>
        <v>867</v>
      </c>
      <c r="U35">
        <f t="shared" si="18"/>
        <v>832</v>
      </c>
    </row>
    <row r="36" spans="1:21" x14ac:dyDescent="0.3">
      <c r="D36">
        <f t="shared" si="1"/>
        <v>-1</v>
      </c>
      <c r="F36">
        <f t="shared" si="3"/>
        <v>-9</v>
      </c>
      <c r="G36">
        <f t="shared" si="4"/>
        <v>-16</v>
      </c>
      <c r="H36">
        <f t="shared" si="5"/>
        <v>-25</v>
      </c>
      <c r="I36">
        <f t="shared" si="6"/>
        <v>-36</v>
      </c>
      <c r="J36">
        <f t="shared" si="7"/>
        <v>-49</v>
      </c>
      <c r="K36">
        <f t="shared" si="8"/>
        <v>-64</v>
      </c>
      <c r="L36">
        <f t="shared" si="9"/>
        <v>-81</v>
      </c>
      <c r="M36">
        <f t="shared" si="10"/>
        <v>-100</v>
      </c>
      <c r="N36">
        <f t="shared" si="11"/>
        <v>-121</v>
      </c>
      <c r="O36">
        <f t="shared" si="12"/>
        <v>-144</v>
      </c>
      <c r="P36">
        <f t="shared" si="13"/>
        <v>-169</v>
      </c>
      <c r="Q36">
        <f t="shared" si="14"/>
        <v>-196</v>
      </c>
      <c r="R36">
        <f t="shared" si="15"/>
        <v>-225</v>
      </c>
      <c r="S36">
        <f t="shared" si="16"/>
        <v>-256</v>
      </c>
      <c r="T36">
        <f t="shared" si="17"/>
        <v>-289</v>
      </c>
      <c r="U36">
        <f t="shared" si="18"/>
        <v>-324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Sheet4</vt:lpstr>
      <vt:lpstr>Sheet8</vt:lpstr>
      <vt:lpstr>Sheet7</vt:lpstr>
      <vt:lpstr>Sheet5</vt:lpstr>
      <vt:lpstr>Sheet6</vt:lpstr>
      <vt:lpstr>Sheet9</vt:lpstr>
      <vt:lpstr>Sheet10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Soltan</dc:creator>
  <cp:lastModifiedBy>Shaimaa Soltan</cp:lastModifiedBy>
  <dcterms:created xsi:type="dcterms:W3CDTF">2026-02-23T18:04:55Z</dcterms:created>
  <dcterms:modified xsi:type="dcterms:W3CDTF">2026-02-25T07:31:02Z</dcterms:modified>
</cp:coreProperties>
</file>